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21]dd\ mmmm\ yyyy;@"/>
    <numFmt numFmtId="165" formatCode="[$-F800]dddd&quot;, &quot;mmmm\ dd&quot;, &quot;yyyy"/>
    <numFmt numFmtId="166" formatCode="&quot;Rp&quot;#,##0"/>
  </numFmts>
  <fonts count="6">
    <font>
      <name val="Calibri"/>
      <family val="2"/>
      <color theme="1"/>
      <sz val="11"/>
      <scheme val="minor"/>
    </font>
    <font>
      <name val="Bahnschrift"/>
      <b val="1"/>
      <sz val="16"/>
    </font>
    <font>
      <name val="Bahnschrift"/>
      <b val="1"/>
      <sz val="11"/>
    </font>
    <font>
      <name val="Bahnschrift"/>
      <sz val="11"/>
    </font>
    <font>
      <name val="Bahnschrift"/>
      <b val="1"/>
      <sz val="12"/>
    </font>
    <font>
      <name val="Bahnschrift"/>
      <sz val="12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3" fontId="5" fillId="0" borderId="3" applyAlignment="1" pivotButton="0" quotePrefix="0" xfId="0">
      <alignment horizontal="center"/>
    </xf>
    <xf numFmtId="3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center"/>
    </xf>
    <xf numFmtId="166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13.28515625" customWidth="1" min="1" max="1"/>
    <col width="12.85546875" customWidth="1" min="2" max="2"/>
    <col width="13.140625" customWidth="1" min="3" max="3"/>
    <col width="19.7109375" customWidth="1" min="4" max="4"/>
    <col width="18.42578125" customWidth="1" min="5" max="5"/>
    <col width="9.140625" customWidth="1" min="6" max="6"/>
  </cols>
  <sheetData>
    <row r="2" ht="19.5" customHeight="1">
      <c r="A2" s="1" t="n"/>
      <c r="B2" s="2" t="inlineStr">
        <is>
          <t>NOTA PEMBELIAN TEMBAKAU 2026</t>
        </is>
      </c>
    </row>
    <row r="3" ht="22.5" customHeight="1"/>
    <row r="4">
      <c r="A4" s="3" t="inlineStr">
        <is>
          <t>Nama    :</t>
        </is>
      </c>
      <c r="B4" s="4" t="inlineStr">
        <is>
          <t>AMIR</t>
        </is>
      </c>
      <c r="D4" s="5" t="n"/>
    </row>
    <row r="5">
      <c r="A5" s="3" t="inlineStr">
        <is>
          <t>Alamat    :</t>
        </is>
      </c>
      <c r="B5" s="6" t="inlineStr">
        <is>
          <t>H.HANAN</t>
        </is>
      </c>
    </row>
    <row r="6">
      <c r="A6" s="3" t="inlineStr">
        <is>
          <t>Tgl/Hr/Thn  :</t>
        </is>
      </c>
      <c r="B6" s="6" t="inlineStr">
        <is>
          <t>7 Agustus 2026</t>
        </is>
      </c>
    </row>
    <row r="7" ht="15.75" customHeight="1"/>
    <row r="8" ht="16.5" customHeight="1">
      <c r="A8" s="7" t="inlineStr">
        <is>
          <t>No. GUD</t>
        </is>
      </c>
      <c r="B8" s="7" t="inlineStr">
        <is>
          <t>BRUTO</t>
        </is>
      </c>
      <c r="C8" s="7" t="inlineStr">
        <is>
          <t>NETTO</t>
        </is>
      </c>
      <c r="D8" s="7" t="inlineStr">
        <is>
          <t>HARGA</t>
        </is>
      </c>
      <c r="E8" s="7" t="inlineStr">
        <is>
          <t>JUMLAH</t>
        </is>
      </c>
    </row>
    <row r="9" ht="15.75" customHeight="1">
      <c r="A9" s="8" t="n">
        <v>1</v>
      </c>
      <c r="B9" s="9" t="n">
        <v>51</v>
      </c>
      <c r="C9" s="10" t="n">
        <v>47</v>
      </c>
      <c r="D9" s="11" t="n">
        <v>65000</v>
      </c>
      <c r="E9" s="11">
        <f>C9*D9</f>
        <v/>
      </c>
    </row>
    <row r="10" ht="15.75" customHeight="1">
      <c r="A10" s="8" t="n">
        <v>2</v>
      </c>
      <c r="B10" s="9" t="n">
        <v>51</v>
      </c>
      <c r="C10" s="10" t="n">
        <v>47</v>
      </c>
      <c r="D10" s="12" t="n">
        <v>65000</v>
      </c>
      <c r="E10" s="12">
        <f>C10*D10</f>
        <v/>
      </c>
    </row>
    <row r="11" ht="15.75" customHeight="1">
      <c r="A11" s="8" t="n">
        <v>3</v>
      </c>
      <c r="B11" s="9" t="n">
        <v>36</v>
      </c>
      <c r="C11" s="10" t="n">
        <v>33</v>
      </c>
      <c r="D11" s="12" t="n">
        <v>65000</v>
      </c>
      <c r="E11" s="12">
        <f>C11*D11</f>
        <v/>
      </c>
    </row>
    <row r="12" ht="15.75" customHeight="1">
      <c r="A12" s="8" t="n">
        <v>4</v>
      </c>
      <c r="B12" s="9" t="n">
        <v>39</v>
      </c>
      <c r="C12" s="10" t="n">
        <v>36</v>
      </c>
      <c r="D12" s="12" t="n">
        <v>65000</v>
      </c>
      <c r="E12" s="12">
        <f>C12*D12</f>
        <v/>
      </c>
    </row>
    <row r="13" ht="15.75" customHeight="1">
      <c r="A13" s="8" t="n">
        <v>5</v>
      </c>
      <c r="B13" s="9" t="n">
        <v>36</v>
      </c>
      <c r="C13" s="10" t="n">
        <v>33</v>
      </c>
      <c r="D13" s="12" t="n">
        <v>65000</v>
      </c>
      <c r="E13" s="12">
        <f>C13*D13</f>
        <v/>
      </c>
    </row>
    <row r="14" ht="15.75" customHeight="1">
      <c r="A14" s="8" t="n">
        <v>6</v>
      </c>
      <c r="B14" s="9" t="n">
        <v>35</v>
      </c>
      <c r="C14" s="10" t="n">
        <v>32</v>
      </c>
      <c r="D14" s="12" t="n">
        <v>63000</v>
      </c>
      <c r="E14" s="12">
        <f>C14*D14</f>
        <v/>
      </c>
    </row>
    <row r="15" ht="15.75" customHeight="1">
      <c r="A15" s="8" t="inlineStr">
        <is>
          <t>GT 7</t>
        </is>
      </c>
      <c r="B15" s="9" t="n">
        <v>48</v>
      </c>
      <c r="C15" s="10" t="n">
        <v>45</v>
      </c>
      <c r="D15" s="12" t="n">
        <v>63000</v>
      </c>
      <c r="E15" s="12">
        <f>C15*D15</f>
        <v/>
      </c>
    </row>
    <row r="16" ht="15.75" customHeight="1">
      <c r="A16" s="8" t="n">
        <v>8</v>
      </c>
      <c r="B16" s="9" t="n">
        <v>36</v>
      </c>
      <c r="C16" s="10" t="n">
        <v>33</v>
      </c>
      <c r="D16" s="12" t="n">
        <v>63000</v>
      </c>
      <c r="E16" s="12">
        <f>C16*D16</f>
        <v/>
      </c>
    </row>
    <row r="17" ht="15.75" customHeight="1">
      <c r="A17" s="8" t="inlineStr">
        <is>
          <t>GT 9</t>
        </is>
      </c>
      <c r="B17" s="9" t="n">
        <v>34</v>
      </c>
      <c r="C17" s="10" t="n">
        <v>31</v>
      </c>
      <c r="D17" s="12" t="n">
        <v>63000</v>
      </c>
      <c r="E17" s="12">
        <f>C17*D17</f>
        <v/>
      </c>
    </row>
    <row r="18" ht="15.75" customHeight="1">
      <c r="A18" s="8" t="n">
        <v>10</v>
      </c>
      <c r="B18" s="9" t="n">
        <v>44</v>
      </c>
      <c r="C18" s="10" t="n">
        <v>41</v>
      </c>
      <c r="D18" s="12" t="n">
        <v>65000</v>
      </c>
      <c r="E18" s="12">
        <f>C18*D18</f>
        <v/>
      </c>
    </row>
    <row r="19" ht="15.75" customHeight="1">
      <c r="D19" s="13" t="inlineStr">
        <is>
          <t xml:space="preserve">JUMLAH </t>
        </is>
      </c>
      <c r="E19" s="12">
        <f>E9+E10+E11+E12+E13+E14+E15+E16+E17+E18</f>
        <v/>
      </c>
    </row>
    <row r="20" ht="15.75" customHeight="1">
      <c r="D20" s="13" t="inlineStr">
        <is>
          <t>PPH 1%</t>
        </is>
      </c>
      <c r="E20" s="12">
        <f>CEILING(E19*0.01,5000)</f>
        <v/>
      </c>
    </row>
    <row r="21" ht="15.75" customHeight="1">
      <c r="D21" s="13" t="inlineStr">
        <is>
          <t>GT</t>
        </is>
      </c>
      <c r="E21" s="14">
        <f>65000*COUNTIF(A9:A18,"GT*")</f>
        <v/>
      </c>
    </row>
    <row r="22" ht="15.75" customHeight="1">
      <c r="D22" s="13" t="inlineStr">
        <is>
          <t>Koli</t>
        </is>
      </c>
      <c r="E22" s="14">
        <f>COUNTA(A9:A18)*5000</f>
        <v/>
      </c>
    </row>
    <row r="23" ht="15.75" customHeight="1">
      <c r="D23" s="13" t="inlineStr">
        <is>
          <t>TOTAL</t>
        </is>
      </c>
      <c r="E23" s="15">
        <f>E19-E22-E21-E20</f>
        <v/>
      </c>
    </row>
  </sheetData>
  <pageMargins left="1.062992125984252" right="0.1968503937007874" top="0.1968503937007874" bottom="0.1968503937007874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2026-08-15T15:31:13Z</dcterms:created>
  <dcterms:modified xsi:type="dcterms:W3CDTF">2026-08-15T15:31:13Z</dcterms:modified>
</cp:coreProperties>
</file>