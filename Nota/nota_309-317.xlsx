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udang\Nota\"/>
    </mc:Choice>
  </mc:AlternateContent>
  <bookViews>
    <workbookView xWindow="0" yWindow="0" windowWidth="28800" windowHeight="12315"/>
  </bookViews>
  <sheets>
    <sheet name="Bahruddin" sheetId="1" r:id="rId1"/>
  </sheets>
  <calcPr calcId="152511"/>
</workbook>
</file>

<file path=xl/calcChain.xml><?xml version="1.0" encoding="utf-8"?>
<calcChain xmlns="http://schemas.openxmlformats.org/spreadsheetml/2006/main">
  <c r="E23" i="1" l="1"/>
  <c r="E22" i="1"/>
  <c r="C19" i="1"/>
  <c r="C20" i="1"/>
  <c r="E20" i="1" s="1"/>
  <c r="C18" i="1"/>
  <c r="E19" i="1"/>
  <c r="E18" i="1"/>
  <c r="E17" i="1"/>
  <c r="E16" i="1"/>
  <c r="E15" i="1"/>
  <c r="E14" i="1"/>
  <c r="E13" i="1"/>
  <c r="E12" i="1"/>
  <c r="E11" i="1"/>
  <c r="E10" i="1"/>
  <c r="E9" i="1"/>
  <c r="E21" i="1" l="1"/>
  <c r="E24" i="1" l="1"/>
</calcChain>
</file>

<file path=xl/sharedStrings.xml><?xml version="1.0" encoding="utf-8"?>
<sst xmlns="http://schemas.openxmlformats.org/spreadsheetml/2006/main" count="27" uniqueCount="25">
  <si>
    <t>NOTA PEMBELIAN TEMBAKAU 2026</t>
  </si>
  <si>
    <t>Nama    :</t>
  </si>
  <si>
    <t>Bahruddin</t>
  </si>
  <si>
    <t>Alamat    :</t>
  </si>
  <si>
    <t>Tgl/Hr/Thn  :</t>
  </si>
  <si>
    <t>12 Agustus 2026</t>
  </si>
  <si>
    <t>No. GUD</t>
  </si>
  <si>
    <t>BRUTO</t>
  </si>
  <si>
    <t>NETTO</t>
  </si>
  <si>
    <t>HARGA</t>
  </si>
  <si>
    <t>JUMLAH</t>
  </si>
  <si>
    <t>GL 309</t>
  </si>
  <si>
    <t>GL 310</t>
  </si>
  <si>
    <t>GL 311</t>
  </si>
  <si>
    <t>GL 312</t>
  </si>
  <si>
    <t>GL 313</t>
  </si>
  <si>
    <t>GL 314</t>
  </si>
  <si>
    <t>GL 315</t>
  </si>
  <si>
    <t>GL 316</t>
  </si>
  <si>
    <t>BS</t>
  </si>
  <si>
    <t xml:space="preserve">JUMLAH </t>
  </si>
  <si>
    <t>Koli</t>
  </si>
  <si>
    <t>TOTAL</t>
  </si>
  <si>
    <t>T 317</t>
  </si>
  <si>
    <t>PPH 0,5%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</si>
</sst>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21]dd\ mmmm\ yyyy;@"/>
    <numFmt numFmtId="165" formatCode="[$-F800]dddd&quot;, &quot;mmmm\ dd&quot;, &quot;yyyy"/>
    <numFmt numFmtId="166" formatCode="&quot;Rp&quot;#,##0"/>
  </numFmts>
  <fonts count="6" x14ac:knownFonts="1">
    <font>
      <sz val="11"/>
      <color theme="1"/>
      <name val="Calibri"/>
      <family val="2"/>
      <scheme val="minor"/>
    </font>
    <font>
      <b/>
      <sz val="16"/>
      <name val="Bahnschrift"/>
    </font>
    <font>
      <b/>
      <sz val="11"/>
      <name val="Bahnschrift"/>
    </font>
    <font>
      <sz val="11"/>
      <name val="Bahnschrift"/>
    </font>
    <font>
      <b/>
      <sz val="12"/>
      <name val="Bahnschrift"/>
    </font>
    <font>
      <sz val="12"/>
      <name val="Bahnschrif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166" fontId="5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38100</xdr:rowOff>
    </xdr:from>
    <xdr:to>
      <xdr:col>0</xdr:col>
      <xdr:colOff>801916</xdr:colOff>
      <xdr:row>2</xdr:row>
      <xdr:rowOff>171449</xdr:rowOff>
    </xdr:to>
    <xdr:pic>
      <xdr:nvPicPr>
        <xdr:cNvPr id="2" name="Gambar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38100"/>
          <a:ext cx="573317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4"/>
  <sheetViews>
    <sheetView showGridLines="0" tabSelected="1" workbookViewId="0">
      <selection activeCell="J20" sqref="J20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9.7109375" customWidth="1"/>
    <col min="5" max="5" width="18.42578125" customWidth="1"/>
    <col min="6" max="6" width="9.140625" customWidth="1"/>
  </cols>
  <sheetData>
    <row r="2" spans="1:5" ht="19.5" customHeight="1" x14ac:dyDescent="0.25">
      <c r="A2" s="1"/>
      <c r="B2" s="2" t="s">
        <v>0</v>
      </c>
    </row>
    <row r="3" spans="1:5" ht="22.5" customHeight="1" x14ac:dyDescent="0.25"/>
    <row r="4" spans="1:5" x14ac:dyDescent="0.25">
      <c r="A4" s="3" t="s">
        <v>1</v>
      </c>
      <c r="B4" s="4" t="s">
        <v>2</v>
      </c>
      <c r="D4" s="5"/>
    </row>
    <row r="5" spans="1:5" x14ac:dyDescent="0.25">
      <c r="A5" s="3" t="s">
        <v>3</v>
      </c>
      <c r="B5" s="6"/>
    </row>
    <row r="6" spans="1:5" x14ac:dyDescent="0.25">
      <c r="A6" s="3" t="s">
        <v>4</v>
      </c>
      <c r="B6" s="6" t="s">
        <v>5</v>
      </c>
    </row>
    <row r="7" spans="1:5" ht="15.75" customHeight="1" x14ac:dyDescent="0.25"/>
    <row r="8" spans="1:5" ht="16.5" customHeight="1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spans="1:5" ht="15.75" customHeight="1" x14ac:dyDescent="0.25">
      <c r="A9" s="8" t="s">
        <v>11</v>
      </c>
      <c r="B9" s="9">
        <v>49</v>
      </c>
      <c r="C9" s="10">
        <v>47</v>
      </c>
      <c r="D9" s="11">
        <v>50000</v>
      </c>
      <c r="E9" s="11">
        <f t="shared" ref="E9:E20" si="0">C9*D9</f>
        <v>2350000</v>
      </c>
    </row>
    <row r="10" spans="1:5" ht="15.75" customHeight="1" x14ac:dyDescent="0.25">
      <c r="A10" s="8" t="s">
        <v>12</v>
      </c>
      <c r="B10" s="9">
        <v>52</v>
      </c>
      <c r="C10" s="10">
        <v>50</v>
      </c>
      <c r="D10" s="12">
        <v>50000</v>
      </c>
      <c r="E10" s="12">
        <f t="shared" si="0"/>
        <v>2500000</v>
      </c>
    </row>
    <row r="11" spans="1:5" ht="15.75" customHeight="1" x14ac:dyDescent="0.25">
      <c r="A11" s="8" t="s">
        <v>13</v>
      </c>
      <c r="B11" s="9">
        <v>42</v>
      </c>
      <c r="C11" s="10">
        <v>40</v>
      </c>
      <c r="D11" s="12">
        <v>40000</v>
      </c>
      <c r="E11" s="12">
        <f t="shared" si="0"/>
        <v>1600000</v>
      </c>
    </row>
    <row r="12" spans="1:5" ht="15.75" customHeight="1" x14ac:dyDescent="0.25">
      <c r="A12" s="8" t="s">
        <v>14</v>
      </c>
      <c r="B12" s="9">
        <v>39</v>
      </c>
      <c r="C12" s="10">
        <v>37</v>
      </c>
      <c r="D12" s="12">
        <v>40000</v>
      </c>
      <c r="E12" s="12">
        <f t="shared" si="0"/>
        <v>1480000</v>
      </c>
    </row>
    <row r="13" spans="1:5" ht="15.75" customHeight="1" x14ac:dyDescent="0.25">
      <c r="A13" s="8" t="s">
        <v>15</v>
      </c>
      <c r="B13" s="9">
        <v>32</v>
      </c>
      <c r="C13" s="10">
        <v>30</v>
      </c>
      <c r="D13" s="12">
        <v>40000</v>
      </c>
      <c r="E13" s="12">
        <f t="shared" si="0"/>
        <v>1200000</v>
      </c>
    </row>
    <row r="14" spans="1:5" ht="15.75" customHeight="1" x14ac:dyDescent="0.25">
      <c r="A14" s="8" t="s">
        <v>16</v>
      </c>
      <c r="B14" s="9">
        <v>34</v>
      </c>
      <c r="C14" s="10">
        <v>32</v>
      </c>
      <c r="D14" s="12">
        <v>30000</v>
      </c>
      <c r="E14" s="12">
        <f t="shared" si="0"/>
        <v>960000</v>
      </c>
    </row>
    <row r="15" spans="1:5" ht="15.75" customHeight="1" x14ac:dyDescent="0.25">
      <c r="A15" s="8" t="s">
        <v>17</v>
      </c>
      <c r="B15" s="9">
        <v>35</v>
      </c>
      <c r="C15" s="10">
        <v>33</v>
      </c>
      <c r="D15" s="12">
        <v>46000</v>
      </c>
      <c r="E15" s="12">
        <f t="shared" si="0"/>
        <v>1518000</v>
      </c>
    </row>
    <row r="16" spans="1:5" ht="15.75" customHeight="1" x14ac:dyDescent="0.25">
      <c r="A16" s="8" t="s">
        <v>18</v>
      </c>
      <c r="B16" s="9">
        <v>37</v>
      </c>
      <c r="C16" s="10">
        <v>35</v>
      </c>
      <c r="D16" s="12">
        <v>46000</v>
      </c>
      <c r="E16" s="12">
        <f t="shared" si="0"/>
        <v>1610000</v>
      </c>
    </row>
    <row r="17" spans="1:5" ht="15.75" customHeight="1" x14ac:dyDescent="0.25">
      <c r="A17" s="8" t="s">
        <v>23</v>
      </c>
      <c r="B17" s="9">
        <v>60</v>
      </c>
      <c r="C17" s="10">
        <v>54</v>
      </c>
      <c r="D17" s="12">
        <v>40000</v>
      </c>
      <c r="E17" s="12">
        <f t="shared" si="0"/>
        <v>2160000</v>
      </c>
    </row>
    <row r="18" spans="1:5" ht="15.75" customHeight="1" x14ac:dyDescent="0.25">
      <c r="A18" s="8" t="s">
        <v>19</v>
      </c>
      <c r="B18" s="9">
        <v>47</v>
      </c>
      <c r="C18" s="10">
        <f>B18-3</f>
        <v>44</v>
      </c>
      <c r="D18" s="12">
        <v>20000</v>
      </c>
      <c r="E18" s="12">
        <f t="shared" si="0"/>
        <v>880000</v>
      </c>
    </row>
    <row r="19" spans="1:5" ht="15.75" customHeight="1" x14ac:dyDescent="0.25">
      <c r="A19" s="8" t="s">
        <v>19</v>
      </c>
      <c r="B19" s="9">
        <v>37</v>
      </c>
      <c r="C19" s="10">
        <f t="shared" ref="C19:C20" si="1">B19-3</f>
        <v>34</v>
      </c>
      <c r="D19" s="12">
        <v>25000</v>
      </c>
      <c r="E19" s="12">
        <f t="shared" si="0"/>
        <v>850000</v>
      </c>
    </row>
    <row r="20" spans="1:5" ht="15.75" customHeight="1" x14ac:dyDescent="0.25">
      <c r="A20" s="8" t="s">
        <v>19</v>
      </c>
      <c r="B20" s="9">
        <v>37</v>
      </c>
      <c r="C20" s="10">
        <f t="shared" si="1"/>
        <v>34</v>
      </c>
      <c r="D20" s="12">
        <v>25000</v>
      </c>
      <c r="E20" s="12">
        <f t="shared" si="0"/>
        <v>850000</v>
      </c>
    </row>
    <row r="21" spans="1:5" ht="15.75" customHeight="1" x14ac:dyDescent="0.25">
      <c r="D21" s="13" t="s">
        <v>20</v>
      </c>
      <c r="E21" s="12">
        <f>E9+E10+E11+E12+E13+E14+E15+E16+E17+E18+E19+E20</f>
        <v>17958000</v>
      </c>
    </row>
    <row r="22" spans="1:5" ht="15.75" customHeight="1" x14ac:dyDescent="0.25">
      <c r="D22" s="13" t="s">
        <v>24</v>
      </c>
      <c r="E22" s="12">
        <f>CEILING(E21*0.005,5000)</f>
        <v>90000</v>
      </c>
    </row>
    <row r="23" spans="1:5" ht="15.75" customHeight="1" x14ac:dyDescent="0.25">
      <c r="D23" s="13" t="s">
        <v>21</v>
      </c>
      <c r="E23" s="14">
        <f>COUNTA(A9:A20)*5000</f>
        <v>60000</v>
      </c>
    </row>
    <row r="24" spans="1:5" ht="15.75" customHeight="1" x14ac:dyDescent="0.25">
      <c r="D24" s="13" t="s">
        <v>22</v>
      </c>
      <c r="E24" s="15">
        <f>E21-E23-E22</f>
        <v>17808000</v>
      </c>
    </row>
  </sheetData>
  <pageMargins left="1" right="1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Bahruddin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lastPrinted>2026-08-15T10:24:05Z</cp:lastPrinted>
  <dcterms:created xsi:type="dcterms:W3CDTF">2026-08-15T09:52:45Z</dcterms:created>
  <dcterms:modified xsi:type="dcterms:W3CDTF">2026-08-15T10:31:16Z</dcterms:modified>
</cp:coreProperties>
</file>