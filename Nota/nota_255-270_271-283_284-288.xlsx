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gudang\Nota\"/>
    </mc:Choice>
  </mc:AlternateContent>
  <bookViews>
    <workbookView xWindow="0" yWindow="0" windowWidth="28770" windowHeight="12240" activeTab="1"/>
  </bookViews>
  <sheets>
    <sheet name="Bahruddin" sheetId="1" r:id="rId1"/>
    <sheet name="H. MAHFUD" sheetId="2" r:id="rId2"/>
    <sheet name="Bahruddin (2)" sheetId="3" r:id="rId3"/>
  </sheets>
  <calcPr calcId="152511" iterateDelta="1E-4"/>
</workbook>
</file>

<file path=xl/calcChain.xml><?xml version="1.0" encoding="utf-8"?>
<calcChain xmlns="http://schemas.openxmlformats.org/spreadsheetml/2006/main">
  <c r="C10" i="3" l="1"/>
  <c r="C11" i="3"/>
  <c r="C12" i="3"/>
  <c r="C13" i="3"/>
  <c r="C9" i="3"/>
  <c r="E9" i="3"/>
  <c r="C10" i="2"/>
  <c r="C11" i="2"/>
  <c r="C12" i="2"/>
  <c r="C13" i="2"/>
  <c r="C14" i="2"/>
  <c r="C15" i="2"/>
  <c r="C16" i="2"/>
  <c r="C17" i="2"/>
  <c r="C18" i="2"/>
  <c r="C19" i="2"/>
  <c r="C20" i="2"/>
  <c r="C21" i="2"/>
  <c r="C9" i="2"/>
  <c r="C10" i="1"/>
  <c r="C11" i="1"/>
  <c r="C12" i="1"/>
  <c r="C13" i="1"/>
  <c r="C14" i="1"/>
  <c r="C15" i="1"/>
  <c r="C16" i="1"/>
  <c r="C17" i="1"/>
  <c r="C18" i="1"/>
  <c r="E18" i="1" s="1"/>
  <c r="C19" i="1"/>
  <c r="C20" i="1"/>
  <c r="C21" i="1"/>
  <c r="C22" i="1"/>
  <c r="E22" i="1" s="1"/>
  <c r="C23" i="1"/>
  <c r="C24" i="1"/>
  <c r="C9" i="1"/>
  <c r="E9" i="1" s="1"/>
  <c r="E29" i="1"/>
  <c r="E24" i="2"/>
  <c r="E19" i="3"/>
  <c r="C26" i="1"/>
  <c r="C25" i="1"/>
  <c r="C15" i="3"/>
  <c r="C16" i="3"/>
  <c r="E16" i="3" s="1"/>
  <c r="C14" i="3"/>
  <c r="E15" i="3"/>
  <c r="E14" i="3"/>
  <c r="E13" i="3"/>
  <c r="E12" i="3"/>
  <c r="E11" i="3"/>
  <c r="E10" i="3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26" i="1"/>
  <c r="E25" i="1"/>
  <c r="E24" i="1"/>
  <c r="E23" i="1"/>
  <c r="E21" i="1"/>
  <c r="E20" i="1"/>
  <c r="E19" i="1"/>
  <c r="E17" i="1"/>
  <c r="E16" i="1"/>
  <c r="E15" i="1"/>
  <c r="E14" i="1"/>
  <c r="E13" i="1"/>
  <c r="E12" i="1"/>
  <c r="E11" i="1"/>
  <c r="E10" i="1"/>
  <c r="E27" i="1" l="1"/>
  <c r="E28" i="1" s="1"/>
  <c r="E22" i="2"/>
  <c r="E23" i="2" s="1"/>
  <c r="E17" i="3"/>
  <c r="E18" i="3" s="1"/>
  <c r="E20" i="3"/>
  <c r="E30" i="1" l="1"/>
  <c r="E25" i="2"/>
</calcChain>
</file>

<file path=xl/sharedStrings.xml><?xml version="1.0" encoding="utf-8"?>
<sst xmlns="http://schemas.openxmlformats.org/spreadsheetml/2006/main" count="85" uniqueCount="53">
  <si>
    <t>NOTA PEMBELIAN TEMBAKAU 2026</t>
  </si>
  <si>
    <t>Nama    :</t>
  </si>
  <si>
    <t>Alamat    :</t>
  </si>
  <si>
    <t>Tgl/Hr/Thn  :</t>
  </si>
  <si>
    <t>13 Agustus 2026</t>
  </si>
  <si>
    <t>No. GUD</t>
  </si>
  <si>
    <t>BRUTO</t>
  </si>
  <si>
    <t>NETTO</t>
  </si>
  <si>
    <t>HARGA</t>
  </si>
  <si>
    <t>JUMLAH</t>
  </si>
  <si>
    <t>GL 255</t>
  </si>
  <si>
    <t>BS</t>
  </si>
  <si>
    <t xml:space="preserve">JUMLAH </t>
  </si>
  <si>
    <t>Koli</t>
  </si>
  <si>
    <t>TOTAL</t>
  </si>
  <si>
    <t>H. MAHFUD</t>
  </si>
  <si>
    <t>Pegantenan</t>
  </si>
  <si>
    <t>GL 256</t>
  </si>
  <si>
    <t>GL 257</t>
  </si>
  <si>
    <t>GL 258</t>
  </si>
  <si>
    <t>GL 259</t>
  </si>
  <si>
    <t>GL 260</t>
  </si>
  <si>
    <t>GL 261</t>
  </si>
  <si>
    <t>GL 262</t>
  </si>
  <si>
    <t>GL 263</t>
  </si>
  <si>
    <t>GL 264</t>
  </si>
  <si>
    <t>GL 265</t>
  </si>
  <si>
    <t>GL 266</t>
  </si>
  <si>
    <t>GL 267</t>
  </si>
  <si>
    <t>GL 268</t>
  </si>
  <si>
    <t>GL 269</t>
  </si>
  <si>
    <t>GL 270</t>
  </si>
  <si>
    <t>GL 271</t>
  </si>
  <si>
    <t>GL 272</t>
  </si>
  <si>
    <t>GL 273</t>
  </si>
  <si>
    <t>GL 274</t>
  </si>
  <si>
    <t>GL 275</t>
  </si>
  <si>
    <t>GL 276</t>
  </si>
  <si>
    <t>GL 277</t>
  </si>
  <si>
    <t>GL 278</t>
  </si>
  <si>
    <t>GL 279</t>
  </si>
  <si>
    <t>GL 280</t>
  </si>
  <si>
    <t>GL 281</t>
  </si>
  <si>
    <t>GL 282</t>
  </si>
  <si>
    <t>GL 283</t>
  </si>
  <si>
    <t>GL 284</t>
  </si>
  <si>
    <t>GL 285</t>
  </si>
  <si>
    <t>GL 286</t>
  </si>
  <si>
    <t>GL 287</t>
  </si>
  <si>
    <t>GL 288</t>
  </si>
  <si>
    <t>PPH 0,5%</t>
  </si>
  <si>
    <t>Bahruddin 2</t>
  </si>
  <si>
    <t>Bahruddin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</si>
</sst>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21]dd\ mmmm\ yyyy;@"/>
    <numFmt numFmtId="165" formatCode="[$-F800]dddd&quot;, &quot;mmmm\ dd&quot;, &quot;yyyy"/>
    <numFmt numFmtId="166" formatCode="&quot;Rp&quot;#,##0"/>
  </numFmts>
  <fonts count="6" x14ac:knownFonts="1">
    <font>
      <sz val="11"/>
      <color theme="1"/>
      <name val="Calibri"/>
      <family val="2"/>
      <scheme val="minor"/>
    </font>
    <font>
      <b/>
      <sz val="16"/>
      <name val="Bahnschrift"/>
    </font>
    <font>
      <b/>
      <sz val="11"/>
      <name val="Bahnschrift"/>
    </font>
    <font>
      <sz val="11"/>
      <name val="Bahnschrift"/>
    </font>
    <font>
      <b/>
      <sz val="12"/>
      <name val="Bahnschrift"/>
    </font>
    <font>
      <sz val="12"/>
      <name val="Bahnschrift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right"/>
    </xf>
    <xf numFmtId="164" fontId="3" fillId="0" borderId="0" xfId="0" applyNumberFormat="1" applyFont="1"/>
    <xf numFmtId="165" fontId="3" fillId="0" borderId="0" xfId="0" applyNumberFormat="1" applyFont="1" applyAlignment="1">
      <alignment horizontal="center"/>
    </xf>
    <xf numFmtId="0" fontId="3" fillId="0" borderId="0" xfId="0" applyFont="1"/>
    <xf numFmtId="0" fontId="4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3" fontId="5" fillId="0" borderId="3" xfId="0" applyNumberFormat="1" applyFont="1" applyBorder="1" applyAlignment="1">
      <alignment horizontal="center"/>
    </xf>
    <xf numFmtId="3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right"/>
    </xf>
    <xf numFmtId="166" fontId="5" fillId="0" borderId="2" xfId="0" applyNumberFormat="1" applyFont="1" applyBorder="1" applyAlignment="1">
      <alignment horizontal="center"/>
    </xf>
    <xf numFmtId="166" fontId="4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0</xdr:row>
      <xdr:rowOff>28575</xdr:rowOff>
    </xdr:from>
    <xdr:to>
      <xdr:col>0</xdr:col>
      <xdr:colOff>815974</xdr:colOff>
      <xdr:row>2</xdr:row>
      <xdr:rowOff>165699</xdr:rowOff>
    </xdr:to>
    <xdr:pic>
      <xdr:nvPicPr>
        <xdr:cNvPr id="2" name="Gambar 1">
          <a:extLst>
            <a:ext uri="{FF2B5EF4-FFF2-40B4-BE49-F238E27FC236}">
              <a16:creationId xmlns=""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28575"/>
          <a:ext cx="577849" cy="57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19050</xdr:rowOff>
    </xdr:from>
    <xdr:to>
      <xdr:col>0</xdr:col>
      <xdr:colOff>806449</xdr:colOff>
      <xdr:row>2</xdr:row>
      <xdr:rowOff>156174</xdr:rowOff>
    </xdr:to>
    <xdr:pic>
      <xdr:nvPicPr>
        <xdr:cNvPr id="2" name="Gambar 1">
          <a:extLst>
            <a:ext uri="{FF2B5EF4-FFF2-40B4-BE49-F238E27FC236}">
              <a16:creationId xmlns=""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9050"/>
          <a:ext cx="577849" cy="57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47625</xdr:rowOff>
    </xdr:from>
    <xdr:to>
      <xdr:col>0</xdr:col>
      <xdr:colOff>787399</xdr:colOff>
      <xdr:row>2</xdr:row>
      <xdr:rowOff>184749</xdr:rowOff>
    </xdr:to>
    <xdr:pic>
      <xdr:nvPicPr>
        <xdr:cNvPr id="2" name="Gambar 1">
          <a:extLst>
            <a:ext uri="{FF2B5EF4-FFF2-40B4-BE49-F238E27FC236}">
              <a16:creationId xmlns=""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47625"/>
          <a:ext cx="577849" cy="57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30"/>
  <sheetViews>
    <sheetView showGridLines="0" workbookViewId="0">
      <selection activeCell="B9" sqref="B9:C24"/>
    </sheetView>
  </sheetViews>
  <sheetFormatPr defaultRowHeight="15" x14ac:dyDescent="0.25"/>
  <cols>
    <col min="1" max="1" width="13.28515625" customWidth="1"/>
    <col min="2" max="2" width="12.85546875" customWidth="1"/>
    <col min="3" max="3" width="13.140625" customWidth="1"/>
    <col min="4" max="4" width="19.7109375" customWidth="1"/>
    <col min="5" max="5" width="18.42578125" customWidth="1"/>
    <col min="6" max="6" width="9.140625" customWidth="1"/>
  </cols>
  <sheetData>
    <row r="2" spans="1:5" ht="19.5" customHeight="1" x14ac:dyDescent="0.25">
      <c r="A2" s="1"/>
      <c r="B2" s="2" t="s">
        <v>0</v>
      </c>
    </row>
    <row r="3" spans="1:5" ht="22.5" customHeight="1" x14ac:dyDescent="0.25"/>
    <row r="4" spans="1:5" x14ac:dyDescent="0.25">
      <c r="A4" s="3" t="s">
        <v>1</v>
      </c>
      <c r="B4" s="4" t="s">
        <v>52</v>
      </c>
      <c r="D4" s="5"/>
    </row>
    <row r="5" spans="1:5" x14ac:dyDescent="0.25">
      <c r="A5" s="3" t="s">
        <v>2</v>
      </c>
      <c r="B5" s="6"/>
    </row>
    <row r="6" spans="1:5" x14ac:dyDescent="0.25">
      <c r="A6" s="3" t="s">
        <v>3</v>
      </c>
      <c r="B6" s="6" t="s">
        <v>4</v>
      </c>
    </row>
    <row r="7" spans="1:5" ht="15.75" customHeight="1" x14ac:dyDescent="0.25"/>
    <row r="8" spans="1:5" ht="16.5" customHeight="1" x14ac:dyDescent="0.25">
      <c r="A8" s="7" t="s">
        <v>5</v>
      </c>
      <c r="B8" s="7" t="s">
        <v>6</v>
      </c>
      <c r="C8" s="7" t="s">
        <v>7</v>
      </c>
      <c r="D8" s="7" t="s">
        <v>8</v>
      </c>
      <c r="E8" s="7" t="s">
        <v>9</v>
      </c>
    </row>
    <row r="9" spans="1:5" ht="15.75" customHeight="1" x14ac:dyDescent="0.25">
      <c r="A9" s="8" t="s">
        <v>10</v>
      </c>
      <c r="B9" s="9">
        <v>42</v>
      </c>
      <c r="C9" s="10">
        <f>B9-2</f>
        <v>40</v>
      </c>
      <c r="D9" s="11">
        <v>45000</v>
      </c>
      <c r="E9" s="11">
        <f t="shared" ref="E9:E26" si="0">C9*D9</f>
        <v>1800000</v>
      </c>
    </row>
    <row r="10" spans="1:5" ht="15.75" customHeight="1" x14ac:dyDescent="0.25">
      <c r="A10" s="8" t="s">
        <v>17</v>
      </c>
      <c r="B10" s="9">
        <v>35</v>
      </c>
      <c r="C10" s="10">
        <f t="shared" ref="C10:C24" si="1">B10-2</f>
        <v>33</v>
      </c>
      <c r="D10" s="12">
        <v>52000</v>
      </c>
      <c r="E10" s="12">
        <f t="shared" si="0"/>
        <v>1716000</v>
      </c>
    </row>
    <row r="11" spans="1:5" ht="15.75" customHeight="1" x14ac:dyDescent="0.25">
      <c r="A11" s="8" t="s">
        <v>18</v>
      </c>
      <c r="B11" s="9">
        <v>32</v>
      </c>
      <c r="C11" s="10">
        <f t="shared" si="1"/>
        <v>30</v>
      </c>
      <c r="D11" s="12">
        <v>52000</v>
      </c>
      <c r="E11" s="12">
        <f t="shared" si="0"/>
        <v>1560000</v>
      </c>
    </row>
    <row r="12" spans="1:5" ht="15.75" customHeight="1" x14ac:dyDescent="0.25">
      <c r="A12" s="8" t="s">
        <v>19</v>
      </c>
      <c r="B12" s="9">
        <v>33</v>
      </c>
      <c r="C12" s="10">
        <f t="shared" si="1"/>
        <v>31</v>
      </c>
      <c r="D12" s="12">
        <v>52000</v>
      </c>
      <c r="E12" s="12">
        <f t="shared" si="0"/>
        <v>1612000</v>
      </c>
    </row>
    <row r="13" spans="1:5" ht="15.75" customHeight="1" x14ac:dyDescent="0.25">
      <c r="A13" s="8" t="s">
        <v>20</v>
      </c>
      <c r="B13" s="9">
        <v>45</v>
      </c>
      <c r="C13" s="10">
        <f t="shared" si="1"/>
        <v>43</v>
      </c>
      <c r="D13" s="12">
        <v>42000</v>
      </c>
      <c r="E13" s="12">
        <f t="shared" si="0"/>
        <v>1806000</v>
      </c>
    </row>
    <row r="14" spans="1:5" ht="15.75" customHeight="1" x14ac:dyDescent="0.25">
      <c r="A14" s="8" t="s">
        <v>21</v>
      </c>
      <c r="B14" s="9">
        <v>46</v>
      </c>
      <c r="C14" s="10">
        <f t="shared" si="1"/>
        <v>44</v>
      </c>
      <c r="D14" s="12">
        <v>42000</v>
      </c>
      <c r="E14" s="12">
        <f t="shared" si="0"/>
        <v>1848000</v>
      </c>
    </row>
    <row r="15" spans="1:5" ht="15.75" customHeight="1" x14ac:dyDescent="0.25">
      <c r="A15" s="8" t="s">
        <v>22</v>
      </c>
      <c r="B15" s="9">
        <v>33</v>
      </c>
      <c r="C15" s="10">
        <f t="shared" si="1"/>
        <v>31</v>
      </c>
      <c r="D15" s="12">
        <v>42000</v>
      </c>
      <c r="E15" s="12">
        <f t="shared" si="0"/>
        <v>1302000</v>
      </c>
    </row>
    <row r="16" spans="1:5" ht="15.75" customHeight="1" x14ac:dyDescent="0.25">
      <c r="A16" s="8" t="s">
        <v>23</v>
      </c>
      <c r="B16" s="9">
        <v>36</v>
      </c>
      <c r="C16" s="10">
        <f t="shared" si="1"/>
        <v>34</v>
      </c>
      <c r="D16" s="12">
        <v>42000</v>
      </c>
      <c r="E16" s="12">
        <f t="shared" si="0"/>
        <v>1428000</v>
      </c>
    </row>
    <row r="17" spans="1:5" ht="15.75" customHeight="1" x14ac:dyDescent="0.25">
      <c r="A17" s="8" t="s">
        <v>24</v>
      </c>
      <c r="B17" s="9">
        <v>35</v>
      </c>
      <c r="C17" s="10">
        <f t="shared" si="1"/>
        <v>33</v>
      </c>
      <c r="D17" s="12">
        <v>42000</v>
      </c>
      <c r="E17" s="12">
        <f t="shared" si="0"/>
        <v>1386000</v>
      </c>
    </row>
    <row r="18" spans="1:5" ht="15.75" customHeight="1" x14ac:dyDescent="0.25">
      <c r="A18" s="8" t="s">
        <v>25</v>
      </c>
      <c r="B18" s="9">
        <v>35</v>
      </c>
      <c r="C18" s="10">
        <f t="shared" si="1"/>
        <v>33</v>
      </c>
      <c r="D18" s="12">
        <v>42000</v>
      </c>
      <c r="E18" s="12">
        <f t="shared" si="0"/>
        <v>1386000</v>
      </c>
    </row>
    <row r="19" spans="1:5" ht="15.75" customHeight="1" x14ac:dyDescent="0.25">
      <c r="A19" s="8" t="s">
        <v>26</v>
      </c>
      <c r="B19" s="9">
        <v>46</v>
      </c>
      <c r="C19" s="10">
        <f t="shared" si="1"/>
        <v>44</v>
      </c>
      <c r="D19" s="12">
        <v>43000</v>
      </c>
      <c r="E19" s="12">
        <f t="shared" si="0"/>
        <v>1892000</v>
      </c>
    </row>
    <row r="20" spans="1:5" ht="15.75" customHeight="1" x14ac:dyDescent="0.25">
      <c r="A20" s="8" t="s">
        <v>27</v>
      </c>
      <c r="B20" s="9">
        <v>34</v>
      </c>
      <c r="C20" s="10">
        <f t="shared" si="1"/>
        <v>32</v>
      </c>
      <c r="D20" s="12">
        <v>44000</v>
      </c>
      <c r="E20" s="12">
        <f t="shared" si="0"/>
        <v>1408000</v>
      </c>
    </row>
    <row r="21" spans="1:5" ht="15.75" customHeight="1" x14ac:dyDescent="0.25">
      <c r="A21" s="8" t="s">
        <v>28</v>
      </c>
      <c r="B21" s="9">
        <v>43</v>
      </c>
      <c r="C21" s="10">
        <f t="shared" si="1"/>
        <v>41</v>
      </c>
      <c r="D21" s="12">
        <v>42000</v>
      </c>
      <c r="E21" s="12">
        <f t="shared" si="0"/>
        <v>1722000</v>
      </c>
    </row>
    <row r="22" spans="1:5" ht="15.75" customHeight="1" x14ac:dyDescent="0.25">
      <c r="A22" s="8" t="s">
        <v>29</v>
      </c>
      <c r="B22" s="9">
        <v>34</v>
      </c>
      <c r="C22" s="10">
        <f t="shared" si="1"/>
        <v>32</v>
      </c>
      <c r="D22" s="12">
        <v>42000</v>
      </c>
      <c r="E22" s="12">
        <f t="shared" si="0"/>
        <v>1344000</v>
      </c>
    </row>
    <row r="23" spans="1:5" ht="15.75" customHeight="1" x14ac:dyDescent="0.25">
      <c r="A23" s="8" t="s">
        <v>30</v>
      </c>
      <c r="B23" s="9">
        <v>42</v>
      </c>
      <c r="C23" s="10">
        <f t="shared" si="1"/>
        <v>40</v>
      </c>
      <c r="D23" s="12">
        <v>42000</v>
      </c>
      <c r="E23" s="12">
        <f t="shared" si="0"/>
        <v>1680000</v>
      </c>
    </row>
    <row r="24" spans="1:5" ht="15.75" customHeight="1" x14ac:dyDescent="0.25">
      <c r="A24" s="8" t="s">
        <v>31</v>
      </c>
      <c r="B24" s="9">
        <v>36</v>
      </c>
      <c r="C24" s="10">
        <f t="shared" si="1"/>
        <v>34</v>
      </c>
      <c r="D24" s="12">
        <v>42000</v>
      </c>
      <c r="E24" s="12">
        <f t="shared" si="0"/>
        <v>1428000</v>
      </c>
    </row>
    <row r="25" spans="1:5" ht="15.75" customHeight="1" x14ac:dyDescent="0.25">
      <c r="A25" s="8" t="s">
        <v>11</v>
      </c>
      <c r="B25" s="9">
        <v>43</v>
      </c>
      <c r="C25" s="10">
        <f>B25-4</f>
        <v>39</v>
      </c>
      <c r="D25" s="12">
        <v>20000</v>
      </c>
      <c r="E25" s="12">
        <f t="shared" si="0"/>
        <v>780000</v>
      </c>
    </row>
    <row r="26" spans="1:5" ht="15.75" customHeight="1" x14ac:dyDescent="0.25">
      <c r="A26" s="8" t="s">
        <v>11</v>
      </c>
      <c r="B26" s="9">
        <v>20</v>
      </c>
      <c r="C26" s="10">
        <f>B26-4</f>
        <v>16</v>
      </c>
      <c r="D26" s="12">
        <v>25000</v>
      </c>
      <c r="E26" s="12">
        <f t="shared" si="0"/>
        <v>400000</v>
      </c>
    </row>
    <row r="27" spans="1:5" ht="15.75" customHeight="1" x14ac:dyDescent="0.25">
      <c r="D27" s="13" t="s">
        <v>12</v>
      </c>
      <c r="E27" s="12">
        <f>E9+E10+E11+E12+E13+E14+E15+E16+E17+E18+E19+E20+E21+E22+E23+E24+E25+E26</f>
        <v>26498000</v>
      </c>
    </row>
    <row r="28" spans="1:5" ht="15.75" customHeight="1" x14ac:dyDescent="0.25">
      <c r="D28" s="13" t="s">
        <v>50</v>
      </c>
      <c r="E28" s="12">
        <f>CEILING(E27*0.005,5000)</f>
        <v>135000</v>
      </c>
    </row>
    <row r="29" spans="1:5" ht="15.75" customHeight="1" x14ac:dyDescent="0.25">
      <c r="D29" s="13" t="s">
        <v>13</v>
      </c>
      <c r="E29" s="14">
        <f>COUNTA(A9:A26)*5000</f>
        <v>90000</v>
      </c>
    </row>
    <row r="30" spans="1:5" ht="15.75" customHeight="1" x14ac:dyDescent="0.25">
      <c r="D30" s="13" t="s">
        <v>14</v>
      </c>
      <c r="E30" s="15">
        <f>E27-E29-E28</f>
        <v>26273000</v>
      </c>
    </row>
  </sheetData>
  <pageMargins left="1.0629921259842521" right="0.19685039370078741" top="0.19685039370078741" bottom="0.1968503937007874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25"/>
  <sheetViews>
    <sheetView showGridLines="0" tabSelected="1" workbookViewId="0">
      <selection activeCell="E30" sqref="E30"/>
    </sheetView>
  </sheetViews>
  <sheetFormatPr defaultRowHeight="15" x14ac:dyDescent="0.25"/>
  <cols>
    <col min="1" max="1" width="13.28515625" customWidth="1"/>
    <col min="2" max="2" width="12.85546875" customWidth="1"/>
    <col min="3" max="3" width="13.140625" customWidth="1"/>
    <col min="4" max="4" width="19.7109375" customWidth="1"/>
    <col min="5" max="5" width="18.42578125" customWidth="1"/>
    <col min="6" max="6" width="9.140625" customWidth="1"/>
  </cols>
  <sheetData>
    <row r="2" spans="1:5" ht="19.5" customHeight="1" x14ac:dyDescent="0.25">
      <c r="A2" s="1"/>
      <c r="B2" s="2" t="s">
        <v>0</v>
      </c>
    </row>
    <row r="3" spans="1:5" ht="22.5" customHeight="1" x14ac:dyDescent="0.25"/>
    <row r="4" spans="1:5" x14ac:dyDescent="0.25">
      <c r="A4" s="3" t="s">
        <v>1</v>
      </c>
      <c r="B4" s="4" t="s">
        <v>15</v>
      </c>
      <c r="D4" s="5"/>
    </row>
    <row r="5" spans="1:5" x14ac:dyDescent="0.25">
      <c r="A5" s="3" t="s">
        <v>2</v>
      </c>
      <c r="B5" s="6" t="s">
        <v>16</v>
      </c>
    </row>
    <row r="6" spans="1:5" x14ac:dyDescent="0.25">
      <c r="A6" s="3" t="s">
        <v>3</v>
      </c>
      <c r="B6" s="6" t="s">
        <v>4</v>
      </c>
    </row>
    <row r="7" spans="1:5" ht="15.75" customHeight="1" x14ac:dyDescent="0.25"/>
    <row r="8" spans="1:5" ht="16.5" customHeight="1" x14ac:dyDescent="0.25">
      <c r="A8" s="7" t="s">
        <v>5</v>
      </c>
      <c r="B8" s="7" t="s">
        <v>6</v>
      </c>
      <c r="C8" s="7" t="s">
        <v>7</v>
      </c>
      <c r="D8" s="7" t="s">
        <v>8</v>
      </c>
      <c r="E8" s="7" t="s">
        <v>9</v>
      </c>
    </row>
    <row r="9" spans="1:5" ht="15.75" customHeight="1" x14ac:dyDescent="0.25">
      <c r="A9" s="8" t="s">
        <v>32</v>
      </c>
      <c r="B9" s="9">
        <v>30</v>
      </c>
      <c r="C9" s="10">
        <f>B9-2</f>
        <v>28</v>
      </c>
      <c r="D9" s="11">
        <v>46000</v>
      </c>
      <c r="E9" s="11">
        <f t="shared" ref="E9:E21" si="0">C9*D9</f>
        <v>1288000</v>
      </c>
    </row>
    <row r="10" spans="1:5" ht="15.75" customHeight="1" x14ac:dyDescent="0.25">
      <c r="A10" s="8" t="s">
        <v>33</v>
      </c>
      <c r="B10" s="9">
        <v>31</v>
      </c>
      <c r="C10" s="10">
        <f t="shared" ref="C10:C21" si="1">B10-2</f>
        <v>29</v>
      </c>
      <c r="D10" s="12">
        <v>47000</v>
      </c>
      <c r="E10" s="12">
        <f t="shared" si="0"/>
        <v>1363000</v>
      </c>
    </row>
    <row r="11" spans="1:5" ht="15.75" customHeight="1" x14ac:dyDescent="0.25">
      <c r="A11" s="8" t="s">
        <v>34</v>
      </c>
      <c r="B11" s="9">
        <v>33</v>
      </c>
      <c r="C11" s="10">
        <f t="shared" si="1"/>
        <v>31</v>
      </c>
      <c r="D11" s="12">
        <v>44000</v>
      </c>
      <c r="E11" s="12">
        <f t="shared" si="0"/>
        <v>1364000</v>
      </c>
    </row>
    <row r="12" spans="1:5" ht="15.75" customHeight="1" x14ac:dyDescent="0.25">
      <c r="A12" s="8" t="s">
        <v>35</v>
      </c>
      <c r="B12" s="9">
        <v>32</v>
      </c>
      <c r="C12" s="10">
        <f t="shared" si="1"/>
        <v>30</v>
      </c>
      <c r="D12" s="12">
        <v>44000</v>
      </c>
      <c r="E12" s="12">
        <f t="shared" si="0"/>
        <v>1320000</v>
      </c>
    </row>
    <row r="13" spans="1:5" ht="15.75" customHeight="1" x14ac:dyDescent="0.25">
      <c r="A13" s="8" t="s">
        <v>36</v>
      </c>
      <c r="B13" s="9">
        <v>32</v>
      </c>
      <c r="C13" s="10">
        <f t="shared" si="1"/>
        <v>30</v>
      </c>
      <c r="D13" s="12">
        <v>45000</v>
      </c>
      <c r="E13" s="12">
        <f t="shared" si="0"/>
        <v>1350000</v>
      </c>
    </row>
    <row r="14" spans="1:5" ht="15.75" customHeight="1" x14ac:dyDescent="0.25">
      <c r="A14" s="8" t="s">
        <v>37</v>
      </c>
      <c r="B14" s="9">
        <v>29</v>
      </c>
      <c r="C14" s="10">
        <f t="shared" si="1"/>
        <v>27</v>
      </c>
      <c r="D14" s="12">
        <v>43000</v>
      </c>
      <c r="E14" s="12">
        <f t="shared" si="0"/>
        <v>1161000</v>
      </c>
    </row>
    <row r="15" spans="1:5" ht="15.75" customHeight="1" x14ac:dyDescent="0.25">
      <c r="A15" s="8" t="s">
        <v>38</v>
      </c>
      <c r="B15" s="9">
        <v>39</v>
      </c>
      <c r="C15" s="10">
        <f t="shared" si="1"/>
        <v>37</v>
      </c>
      <c r="D15" s="12">
        <v>45000</v>
      </c>
      <c r="E15" s="12">
        <f t="shared" si="0"/>
        <v>1665000</v>
      </c>
    </row>
    <row r="16" spans="1:5" ht="15.75" customHeight="1" x14ac:dyDescent="0.25">
      <c r="A16" s="8" t="s">
        <v>39</v>
      </c>
      <c r="B16" s="9">
        <v>28</v>
      </c>
      <c r="C16" s="10">
        <f t="shared" si="1"/>
        <v>26</v>
      </c>
      <c r="D16" s="12">
        <v>45000</v>
      </c>
      <c r="E16" s="12">
        <f t="shared" si="0"/>
        <v>1170000</v>
      </c>
    </row>
    <row r="17" spans="1:5" ht="15.75" customHeight="1" x14ac:dyDescent="0.25">
      <c r="A17" s="8" t="s">
        <v>40</v>
      </c>
      <c r="B17" s="9">
        <v>33</v>
      </c>
      <c r="C17" s="10">
        <f t="shared" si="1"/>
        <v>31</v>
      </c>
      <c r="D17" s="12">
        <v>44000</v>
      </c>
      <c r="E17" s="12">
        <f t="shared" si="0"/>
        <v>1364000</v>
      </c>
    </row>
    <row r="18" spans="1:5" ht="15.75" customHeight="1" x14ac:dyDescent="0.25">
      <c r="A18" s="8" t="s">
        <v>41</v>
      </c>
      <c r="B18" s="9">
        <v>31</v>
      </c>
      <c r="C18" s="10">
        <f t="shared" si="1"/>
        <v>29</v>
      </c>
      <c r="D18" s="12">
        <v>45000</v>
      </c>
      <c r="E18" s="12">
        <f t="shared" si="0"/>
        <v>1305000</v>
      </c>
    </row>
    <row r="19" spans="1:5" ht="15.75" customHeight="1" x14ac:dyDescent="0.25">
      <c r="A19" s="8" t="s">
        <v>42</v>
      </c>
      <c r="B19" s="9">
        <v>35</v>
      </c>
      <c r="C19" s="10">
        <f t="shared" si="1"/>
        <v>33</v>
      </c>
      <c r="D19" s="12">
        <v>45000</v>
      </c>
      <c r="E19" s="12">
        <f t="shared" si="0"/>
        <v>1485000</v>
      </c>
    </row>
    <row r="20" spans="1:5" ht="15.75" customHeight="1" x14ac:dyDescent="0.25">
      <c r="A20" s="8" t="s">
        <v>43</v>
      </c>
      <c r="B20" s="9">
        <v>25</v>
      </c>
      <c r="C20" s="10">
        <f t="shared" si="1"/>
        <v>23</v>
      </c>
      <c r="D20" s="12">
        <v>44000</v>
      </c>
      <c r="E20" s="12">
        <f t="shared" si="0"/>
        <v>1012000</v>
      </c>
    </row>
    <row r="21" spans="1:5" ht="15.75" customHeight="1" x14ac:dyDescent="0.25">
      <c r="A21" s="8" t="s">
        <v>44</v>
      </c>
      <c r="B21" s="9">
        <v>26</v>
      </c>
      <c r="C21" s="10">
        <f t="shared" si="1"/>
        <v>24</v>
      </c>
      <c r="D21" s="12">
        <v>45000</v>
      </c>
      <c r="E21" s="12">
        <f t="shared" si="0"/>
        <v>1080000</v>
      </c>
    </row>
    <row r="22" spans="1:5" ht="15.75" customHeight="1" x14ac:dyDescent="0.25">
      <c r="D22" s="13" t="s">
        <v>12</v>
      </c>
      <c r="E22" s="12">
        <f>E9+E10+E11+E12+E13+E14+E15+E16+E17+E18+E19+E20+E21</f>
        <v>16927000</v>
      </c>
    </row>
    <row r="23" spans="1:5" ht="15.75" customHeight="1" x14ac:dyDescent="0.25">
      <c r="D23" s="13" t="s">
        <v>50</v>
      </c>
      <c r="E23" s="12">
        <f>CEILING(E22*0.005,5000)</f>
        <v>85000</v>
      </c>
    </row>
    <row r="24" spans="1:5" ht="15.75" customHeight="1" x14ac:dyDescent="0.25">
      <c r="D24" s="13" t="s">
        <v>13</v>
      </c>
      <c r="E24" s="14">
        <f>COUNTA(A9:A21)*5000</f>
        <v>65000</v>
      </c>
    </row>
    <row r="25" spans="1:5" ht="15.75" customHeight="1" x14ac:dyDescent="0.25">
      <c r="D25" s="13" t="s">
        <v>14</v>
      </c>
      <c r="E25" s="15">
        <f>E22-E24-E23</f>
        <v>16777000</v>
      </c>
    </row>
  </sheetData>
  <pageMargins left="1.0629921259842521" right="0.19685039370078741" top="0.19685039370078741" bottom="0.19685039370078741" header="0.5" footer="0.5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20"/>
  <sheetViews>
    <sheetView showGridLines="0" workbookViewId="0">
      <selection activeCell="J26" sqref="J26"/>
    </sheetView>
  </sheetViews>
  <sheetFormatPr defaultRowHeight="15" x14ac:dyDescent="0.25"/>
  <cols>
    <col min="1" max="1" width="13.28515625" customWidth="1"/>
    <col min="2" max="2" width="12.85546875" customWidth="1"/>
    <col min="3" max="3" width="13.140625" customWidth="1"/>
    <col min="4" max="4" width="19.7109375" customWidth="1"/>
    <col min="5" max="5" width="18.42578125" customWidth="1"/>
    <col min="6" max="6" width="9.140625" customWidth="1"/>
  </cols>
  <sheetData>
    <row r="2" spans="1:5" ht="19.5" customHeight="1" x14ac:dyDescent="0.25">
      <c r="A2" s="1"/>
      <c r="B2" s="2" t="s">
        <v>0</v>
      </c>
    </row>
    <row r="3" spans="1:5" ht="22.5" customHeight="1" x14ac:dyDescent="0.25"/>
    <row r="4" spans="1:5" x14ac:dyDescent="0.25">
      <c r="A4" s="3" t="s">
        <v>1</v>
      </c>
      <c r="B4" s="4" t="s">
        <v>51</v>
      </c>
      <c r="D4" s="5"/>
    </row>
    <row r="5" spans="1:5" x14ac:dyDescent="0.25">
      <c r="A5" s="3" t="s">
        <v>2</v>
      </c>
      <c r="B5" s="6"/>
    </row>
    <row r="6" spans="1:5" x14ac:dyDescent="0.25">
      <c r="A6" s="3" t="s">
        <v>3</v>
      </c>
      <c r="B6" s="6" t="s">
        <v>4</v>
      </c>
    </row>
    <row r="7" spans="1:5" ht="15.75" customHeight="1" x14ac:dyDescent="0.25"/>
    <row r="8" spans="1:5" ht="16.5" customHeight="1" x14ac:dyDescent="0.25">
      <c r="A8" s="7" t="s">
        <v>5</v>
      </c>
      <c r="B8" s="7" t="s">
        <v>6</v>
      </c>
      <c r="C8" s="7" t="s">
        <v>7</v>
      </c>
      <c r="D8" s="7" t="s">
        <v>8</v>
      </c>
      <c r="E8" s="7" t="s">
        <v>9</v>
      </c>
    </row>
    <row r="9" spans="1:5" ht="15.75" customHeight="1" x14ac:dyDescent="0.25">
      <c r="A9" s="8" t="s">
        <v>45</v>
      </c>
      <c r="B9" s="9">
        <v>41</v>
      </c>
      <c r="C9" s="10">
        <f>B9-2</f>
        <v>39</v>
      </c>
      <c r="D9" s="11">
        <v>42000</v>
      </c>
      <c r="E9" s="11">
        <f t="shared" ref="E9:E16" si="0">C9*D9</f>
        <v>1638000</v>
      </c>
    </row>
    <row r="10" spans="1:5" ht="15.75" customHeight="1" x14ac:dyDescent="0.25">
      <c r="A10" s="8" t="s">
        <v>46</v>
      </c>
      <c r="B10" s="9">
        <v>39</v>
      </c>
      <c r="C10" s="10">
        <f t="shared" ref="C10:C13" si="1">B10-2</f>
        <v>37</v>
      </c>
      <c r="D10" s="12">
        <v>42000</v>
      </c>
      <c r="E10" s="12">
        <f t="shared" si="0"/>
        <v>1554000</v>
      </c>
    </row>
    <row r="11" spans="1:5" ht="15.75" customHeight="1" x14ac:dyDescent="0.25">
      <c r="A11" s="8" t="s">
        <v>47</v>
      </c>
      <c r="B11" s="9">
        <v>39</v>
      </c>
      <c r="C11" s="10">
        <f t="shared" si="1"/>
        <v>37</v>
      </c>
      <c r="D11" s="12">
        <v>42000</v>
      </c>
      <c r="E11" s="12">
        <f t="shared" si="0"/>
        <v>1554000</v>
      </c>
    </row>
    <row r="12" spans="1:5" ht="15.75" customHeight="1" x14ac:dyDescent="0.25">
      <c r="A12" s="8" t="s">
        <v>48</v>
      </c>
      <c r="B12" s="9">
        <v>36</v>
      </c>
      <c r="C12" s="10">
        <f t="shared" si="1"/>
        <v>34</v>
      </c>
      <c r="D12" s="12">
        <v>42000</v>
      </c>
      <c r="E12" s="12">
        <f t="shared" si="0"/>
        <v>1428000</v>
      </c>
    </row>
    <row r="13" spans="1:5" ht="15.75" customHeight="1" x14ac:dyDescent="0.25">
      <c r="A13" s="8" t="s">
        <v>49</v>
      </c>
      <c r="B13" s="9">
        <v>37</v>
      </c>
      <c r="C13" s="10">
        <f t="shared" si="1"/>
        <v>35</v>
      </c>
      <c r="D13" s="12">
        <v>42000</v>
      </c>
      <c r="E13" s="12">
        <f t="shared" si="0"/>
        <v>1470000</v>
      </c>
    </row>
    <row r="14" spans="1:5" ht="15.75" customHeight="1" x14ac:dyDescent="0.25">
      <c r="A14" s="8" t="s">
        <v>11</v>
      </c>
      <c r="B14" s="9">
        <v>31</v>
      </c>
      <c r="C14" s="10">
        <f>B14-4</f>
        <v>27</v>
      </c>
      <c r="D14" s="12">
        <v>20000</v>
      </c>
      <c r="E14" s="12">
        <f t="shared" si="0"/>
        <v>540000</v>
      </c>
    </row>
    <row r="15" spans="1:5" ht="15.75" customHeight="1" x14ac:dyDescent="0.25">
      <c r="A15" s="8" t="s">
        <v>11</v>
      </c>
      <c r="B15" s="9">
        <v>34</v>
      </c>
      <c r="C15" s="10">
        <f t="shared" ref="C15:C16" si="2">B15-4</f>
        <v>30</v>
      </c>
      <c r="D15" s="12">
        <v>25000</v>
      </c>
      <c r="E15" s="12">
        <f t="shared" si="0"/>
        <v>750000</v>
      </c>
    </row>
    <row r="16" spans="1:5" ht="15.75" customHeight="1" x14ac:dyDescent="0.25">
      <c r="A16" s="8" t="s">
        <v>11</v>
      </c>
      <c r="B16" s="9">
        <v>24</v>
      </c>
      <c r="C16" s="10">
        <f t="shared" si="2"/>
        <v>20</v>
      </c>
      <c r="D16" s="12">
        <v>30000</v>
      </c>
      <c r="E16" s="12">
        <f t="shared" si="0"/>
        <v>600000</v>
      </c>
    </row>
    <row r="17" spans="4:5" ht="15.75" customHeight="1" x14ac:dyDescent="0.25">
      <c r="D17" s="13" t="s">
        <v>12</v>
      </c>
      <c r="E17" s="12">
        <f>E9+E10+E11+E12+E13+E14+E15+E16</f>
        <v>9534000</v>
      </c>
    </row>
    <row r="18" spans="4:5" ht="15.75" customHeight="1" x14ac:dyDescent="0.25">
      <c r="D18" s="13" t="s">
        <v>50</v>
      </c>
      <c r="E18" s="12">
        <f>CEILING(E17*0.005,5000)</f>
        <v>50000</v>
      </c>
    </row>
    <row r="19" spans="4:5" ht="15.75" customHeight="1" x14ac:dyDescent="0.25">
      <c r="D19" s="13" t="s">
        <v>13</v>
      </c>
      <c r="E19" s="14">
        <f>COUNTA(A9:A16)*5000</f>
        <v>40000</v>
      </c>
    </row>
    <row r="20" spans="4:5" ht="15.75" customHeight="1" x14ac:dyDescent="0.25">
      <c r="D20" s="13" t="s">
        <v>14</v>
      </c>
      <c r="E20" s="15">
        <f>E17-E19-E18</f>
        <v>9444000</v>
      </c>
    </row>
  </sheetData>
  <pageMargins left="1" right="1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Bahruddin</vt:lpstr>
      <vt:lpstr>H. MAHFUD</vt:lpstr>
      <vt:lpstr>Bahruddin 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cp:lastPrinted>2026-08-13T09:05:56Z</cp:lastPrinted>
  <dcterms:created xsi:type="dcterms:W3CDTF">2026-08-13T08:46:34Z</dcterms:created>
  <dcterms:modified xsi:type="dcterms:W3CDTF">2026-08-13T09:18:41Z</dcterms:modified>
</cp:coreProperties>
</file>