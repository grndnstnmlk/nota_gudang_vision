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gudang\Nota\"/>
    </mc:Choice>
  </mc:AlternateContent>
  <bookViews>
    <workbookView xWindow="0" yWindow="0" windowWidth="28800" windowHeight="12315"/>
  </bookViews>
  <sheets>
    <sheet name="H. MAHFUD" sheetId="1" r:id="rId1"/>
  </sheets>
  <calcPr calcId="152511" iterateDelta="1E-4"/>
</workbook>
</file>

<file path=xl/calcChain.xml><?xml version="1.0" encoding="utf-8"?>
<calcChain xmlns="http://schemas.openxmlformats.org/spreadsheetml/2006/main">
  <c r="E29" i="1" l="1"/>
  <c r="E27" i="1" l="1"/>
  <c r="E28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30" i="1" l="1"/>
</calcChain>
</file>

<file path=xl/sharedStrings.xml><?xml version="1.0" encoding="utf-8"?>
<sst xmlns="http://schemas.openxmlformats.org/spreadsheetml/2006/main" count="34" uniqueCount="34">
  <si>
    <t>NOTA PEMBELIAN TEMBAKAU 2026</t>
  </si>
  <si>
    <t>Nama    :</t>
  </si>
  <si>
    <t>H. MAHFUD</t>
  </si>
  <si>
    <t>Alamat    :</t>
  </si>
  <si>
    <t>Pegantenan</t>
  </si>
  <si>
    <t>Tgl/Hr/Thn  :</t>
  </si>
  <si>
    <t>14 Agustus 2026</t>
  </si>
  <si>
    <t>No. GUD</t>
  </si>
  <si>
    <t>BRUTO</t>
  </si>
  <si>
    <t>NETTO</t>
  </si>
  <si>
    <t>HARGA</t>
  </si>
  <si>
    <t>JUMLAH</t>
  </si>
  <si>
    <t>GL 289</t>
  </si>
  <si>
    <t>GL 290</t>
  </si>
  <si>
    <t>GL 291</t>
  </si>
  <si>
    <t>GL 292</t>
  </si>
  <si>
    <t>GL 293</t>
  </si>
  <si>
    <t>GL 294</t>
  </si>
  <si>
    <t>GL 295</t>
  </si>
  <si>
    <t>GL 296</t>
  </si>
  <si>
    <t>GL 297</t>
  </si>
  <si>
    <t>GL 298</t>
  </si>
  <si>
    <t>GL 299</t>
  </si>
  <si>
    <t>GL 300</t>
  </si>
  <si>
    <t>GL 301</t>
  </si>
  <si>
    <t>GL 302</t>
  </si>
  <si>
    <t>GL 303</t>
  </si>
  <si>
    <t>GL 304</t>
  </si>
  <si>
    <t>GL 305</t>
  </si>
  <si>
    <t>GL 306</t>
  </si>
  <si>
    <t xml:space="preserve">JUMLAH </t>
  </si>
  <si>
    <t>Koli</t>
  </si>
  <si>
    <t>TOTAL</t>
  </si>
  <si>
    <t>PPH 0,5%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</si>
</sst>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21]dd\ mmmm\ yyyy;@"/>
    <numFmt numFmtId="165" formatCode="[$-F800]dddd&quot;, &quot;mmmm\ dd&quot;, &quot;yyyy"/>
    <numFmt numFmtId="166" formatCode="&quot;Rp&quot;#,##0"/>
  </numFmts>
  <fonts count="6" x14ac:knownFonts="1">
    <font>
      <sz val="11"/>
      <color theme="1"/>
      <name val="Calibri"/>
      <family val="2"/>
      <scheme val="minor"/>
    </font>
    <font>
      <b/>
      <sz val="16"/>
      <name val="Bahnschrift"/>
      <family val="2"/>
    </font>
    <font>
      <b/>
      <sz val="11"/>
      <name val="Bahnschrift"/>
      <family val="2"/>
    </font>
    <font>
      <sz val="11"/>
      <name val="Bahnschrift"/>
      <family val="2"/>
    </font>
    <font>
      <b/>
      <sz val="12"/>
      <name val="Bahnschrift"/>
      <family val="2"/>
    </font>
    <font>
      <sz val="12"/>
      <name val="Bahnschrift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164" fontId="3" fillId="0" borderId="0" xfId="0" applyNumberFormat="1" applyFont="1"/>
    <xf numFmtId="165" fontId="3" fillId="0" borderId="0" xfId="0" applyNumberFormat="1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3" fontId="5" fillId="0" borderId="3" xfId="0" applyNumberFormat="1" applyFont="1" applyBorder="1" applyAlignment="1">
      <alignment horizontal="center"/>
    </xf>
    <xf numFmtId="3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right"/>
    </xf>
    <xf numFmtId="166" fontId="5" fillId="0" borderId="2" xfId="0" applyNumberFormat="1" applyFont="1" applyBorder="1" applyAlignment="1">
      <alignment horizontal="center"/>
    </xf>
    <xf numFmtId="166" fontId="4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76200</xdr:rowOff>
    </xdr:from>
    <xdr:to>
      <xdr:col>0</xdr:col>
      <xdr:colOff>844549</xdr:colOff>
      <xdr:row>2</xdr:row>
      <xdr:rowOff>213324</xdr:rowOff>
    </xdr:to>
    <xdr:pic>
      <xdr:nvPicPr>
        <xdr:cNvPr id="2" name="Gambar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76200"/>
          <a:ext cx="577849" cy="57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0"/>
  <sheetViews>
    <sheetView showGridLines="0" tabSelected="1" workbookViewId="0">
      <selection activeCell="B9" sqref="B9:B20"/>
    </sheetView>
  </sheetViews>
  <sheetFormatPr defaultRowHeight="15" x14ac:dyDescent="0.25"/>
  <cols>
    <col min="1" max="1" width="13.28515625" customWidth="1"/>
    <col min="2" max="2" width="12.85546875" customWidth="1"/>
    <col min="3" max="3" width="13.140625" customWidth="1"/>
    <col min="4" max="4" width="19.7109375" customWidth="1"/>
    <col min="5" max="5" width="18.42578125" customWidth="1"/>
    <col min="6" max="6" width="9.140625" customWidth="1"/>
  </cols>
  <sheetData>
    <row r="2" spans="1:5" ht="19.5" customHeight="1" x14ac:dyDescent="0.25">
      <c r="A2" s="1"/>
      <c r="B2" s="2" t="s">
        <v>0</v>
      </c>
    </row>
    <row r="3" spans="1:5" ht="22.5" customHeight="1" x14ac:dyDescent="0.25"/>
    <row r="4" spans="1:5" x14ac:dyDescent="0.25">
      <c r="A4" s="3" t="s">
        <v>1</v>
      </c>
      <c r="B4" s="4" t="s">
        <v>2</v>
      </c>
      <c r="D4" s="5"/>
    </row>
    <row r="5" spans="1:5" x14ac:dyDescent="0.25">
      <c r="A5" s="3" t="s">
        <v>3</v>
      </c>
      <c r="B5" s="6" t="s">
        <v>4</v>
      </c>
    </row>
    <row r="6" spans="1:5" x14ac:dyDescent="0.25">
      <c r="A6" s="3" t="s">
        <v>5</v>
      </c>
      <c r="B6" s="6" t="s">
        <v>6</v>
      </c>
    </row>
    <row r="7" spans="1:5" ht="15.75" customHeight="1" x14ac:dyDescent="0.25"/>
    <row r="8" spans="1:5" ht="16.5" customHeight="1" x14ac:dyDescent="0.25">
      <c r="A8" s="7" t="s">
        <v>7</v>
      </c>
      <c r="B8" s="7" t="s">
        <v>8</v>
      </c>
      <c r="C8" s="7" t="s">
        <v>9</v>
      </c>
      <c r="D8" s="7" t="s">
        <v>10</v>
      </c>
      <c r="E8" s="7" t="s">
        <v>11</v>
      </c>
    </row>
    <row r="9" spans="1:5" ht="15.75" customHeight="1" x14ac:dyDescent="0.25">
      <c r="A9" s="8" t="s">
        <v>12</v>
      </c>
      <c r="B9" s="9">
        <v>46</v>
      </c>
      <c r="C9" s="10">
        <v>44</v>
      </c>
      <c r="D9" s="11">
        <v>60000</v>
      </c>
      <c r="E9" s="11">
        <f t="shared" ref="E9:E26" si="0">C9*D9</f>
        <v>2640000</v>
      </c>
    </row>
    <row r="10" spans="1:5" ht="15.75" customHeight="1" x14ac:dyDescent="0.25">
      <c r="A10" s="8" t="s">
        <v>13</v>
      </c>
      <c r="B10" s="9">
        <v>44</v>
      </c>
      <c r="C10" s="10">
        <v>42</v>
      </c>
      <c r="D10" s="12">
        <v>60000</v>
      </c>
      <c r="E10" s="12">
        <f t="shared" si="0"/>
        <v>2520000</v>
      </c>
    </row>
    <row r="11" spans="1:5" ht="15.75" customHeight="1" x14ac:dyDescent="0.25">
      <c r="A11" s="8" t="s">
        <v>14</v>
      </c>
      <c r="B11" s="9">
        <v>39</v>
      </c>
      <c r="C11" s="10">
        <v>37</v>
      </c>
      <c r="D11" s="12">
        <v>57000</v>
      </c>
      <c r="E11" s="12">
        <f t="shared" si="0"/>
        <v>2109000</v>
      </c>
    </row>
    <row r="12" spans="1:5" ht="15.75" customHeight="1" x14ac:dyDescent="0.25">
      <c r="A12" s="8" t="s">
        <v>15</v>
      </c>
      <c r="B12" s="9">
        <v>33</v>
      </c>
      <c r="C12" s="10">
        <v>31</v>
      </c>
      <c r="D12" s="12">
        <v>57000</v>
      </c>
      <c r="E12" s="12">
        <f t="shared" si="0"/>
        <v>1767000</v>
      </c>
    </row>
    <row r="13" spans="1:5" ht="15.75" customHeight="1" x14ac:dyDescent="0.25">
      <c r="A13" s="8" t="s">
        <v>16</v>
      </c>
      <c r="B13" s="9">
        <v>39</v>
      </c>
      <c r="C13" s="10">
        <v>37</v>
      </c>
      <c r="D13" s="12">
        <v>53000</v>
      </c>
      <c r="E13" s="12">
        <f t="shared" si="0"/>
        <v>1961000</v>
      </c>
    </row>
    <row r="14" spans="1:5" ht="15.75" customHeight="1" x14ac:dyDescent="0.25">
      <c r="A14" s="8" t="s">
        <v>17</v>
      </c>
      <c r="B14" s="9">
        <v>28</v>
      </c>
      <c r="C14" s="10">
        <v>26</v>
      </c>
      <c r="D14" s="12">
        <v>53000</v>
      </c>
      <c r="E14" s="12">
        <f t="shared" si="0"/>
        <v>1378000</v>
      </c>
    </row>
    <row r="15" spans="1:5" ht="15.75" customHeight="1" x14ac:dyDescent="0.25">
      <c r="A15" s="8" t="s">
        <v>18</v>
      </c>
      <c r="B15" s="9">
        <v>37</v>
      </c>
      <c r="C15" s="10">
        <v>35</v>
      </c>
      <c r="D15" s="12">
        <v>53000</v>
      </c>
      <c r="E15" s="12">
        <f t="shared" si="0"/>
        <v>1855000</v>
      </c>
    </row>
    <row r="16" spans="1:5" ht="15.75" customHeight="1" x14ac:dyDescent="0.25">
      <c r="A16" s="8" t="s">
        <v>19</v>
      </c>
      <c r="B16" s="9">
        <v>44</v>
      </c>
      <c r="C16" s="10">
        <v>42</v>
      </c>
      <c r="D16" s="12">
        <v>53000</v>
      </c>
      <c r="E16" s="12">
        <f t="shared" si="0"/>
        <v>2226000</v>
      </c>
    </row>
    <row r="17" spans="1:5" ht="15.75" customHeight="1" x14ac:dyDescent="0.25">
      <c r="A17" s="8" t="s">
        <v>20</v>
      </c>
      <c r="B17" s="9">
        <v>27</v>
      </c>
      <c r="C17" s="10">
        <v>25</v>
      </c>
      <c r="D17" s="12">
        <v>47000</v>
      </c>
      <c r="E17" s="12">
        <f t="shared" si="0"/>
        <v>1175000</v>
      </c>
    </row>
    <row r="18" spans="1:5" ht="15.75" customHeight="1" x14ac:dyDescent="0.25">
      <c r="A18" s="8" t="s">
        <v>21</v>
      </c>
      <c r="B18" s="9">
        <v>39</v>
      </c>
      <c r="C18" s="10">
        <v>37</v>
      </c>
      <c r="D18" s="12">
        <v>53000</v>
      </c>
      <c r="E18" s="12">
        <f t="shared" si="0"/>
        <v>1961000</v>
      </c>
    </row>
    <row r="19" spans="1:5" ht="15.75" customHeight="1" x14ac:dyDescent="0.25">
      <c r="A19" s="8" t="s">
        <v>22</v>
      </c>
      <c r="B19" s="9">
        <v>38</v>
      </c>
      <c r="C19" s="10">
        <v>36</v>
      </c>
      <c r="D19" s="12">
        <v>53000</v>
      </c>
      <c r="E19" s="12">
        <f t="shared" si="0"/>
        <v>1908000</v>
      </c>
    </row>
    <row r="20" spans="1:5" ht="15.75" customHeight="1" x14ac:dyDescent="0.25">
      <c r="A20" s="8" t="s">
        <v>23</v>
      </c>
      <c r="B20" s="9">
        <v>45</v>
      </c>
      <c r="C20" s="10">
        <v>43</v>
      </c>
      <c r="D20" s="12">
        <v>45000</v>
      </c>
      <c r="E20" s="12">
        <f t="shared" si="0"/>
        <v>1935000</v>
      </c>
    </row>
    <row r="21" spans="1:5" ht="15.75" customHeight="1" x14ac:dyDescent="0.25">
      <c r="A21" s="8" t="s">
        <v>24</v>
      </c>
      <c r="B21" s="9">
        <v>30</v>
      </c>
      <c r="C21" s="10">
        <v>28</v>
      </c>
      <c r="D21" s="12">
        <v>53000</v>
      </c>
      <c r="E21" s="12">
        <f t="shared" si="0"/>
        <v>1484000</v>
      </c>
    </row>
    <row r="22" spans="1:5" ht="15.75" customHeight="1" x14ac:dyDescent="0.25">
      <c r="A22" s="8" t="s">
        <v>25</v>
      </c>
      <c r="B22" s="9">
        <v>29</v>
      </c>
      <c r="C22" s="10">
        <v>27</v>
      </c>
      <c r="D22" s="12">
        <v>45000</v>
      </c>
      <c r="E22" s="12">
        <f t="shared" si="0"/>
        <v>1215000</v>
      </c>
    </row>
    <row r="23" spans="1:5" ht="15.75" customHeight="1" x14ac:dyDescent="0.25">
      <c r="A23" s="8" t="s">
        <v>26</v>
      </c>
      <c r="B23" s="9">
        <v>47</v>
      </c>
      <c r="C23" s="10">
        <v>45</v>
      </c>
      <c r="D23" s="12">
        <v>42000</v>
      </c>
      <c r="E23" s="12">
        <f t="shared" si="0"/>
        <v>1890000</v>
      </c>
    </row>
    <row r="24" spans="1:5" ht="15.75" customHeight="1" x14ac:dyDescent="0.25">
      <c r="A24" s="8" t="s">
        <v>27</v>
      </c>
      <c r="B24" s="9">
        <v>28</v>
      </c>
      <c r="C24" s="10">
        <v>26</v>
      </c>
      <c r="D24" s="12">
        <v>42000</v>
      </c>
      <c r="E24" s="12">
        <f t="shared" si="0"/>
        <v>1092000</v>
      </c>
    </row>
    <row r="25" spans="1:5" ht="15.75" customHeight="1" x14ac:dyDescent="0.25">
      <c r="A25" s="8" t="s">
        <v>28</v>
      </c>
      <c r="B25" s="9">
        <v>37</v>
      </c>
      <c r="C25" s="10">
        <v>35</v>
      </c>
      <c r="D25" s="12">
        <v>56000</v>
      </c>
      <c r="E25" s="12">
        <f t="shared" si="0"/>
        <v>1960000</v>
      </c>
    </row>
    <row r="26" spans="1:5" ht="15.75" customHeight="1" x14ac:dyDescent="0.25">
      <c r="A26" s="8" t="s">
        <v>29</v>
      </c>
      <c r="B26" s="9">
        <v>34</v>
      </c>
      <c r="C26" s="10">
        <v>32</v>
      </c>
      <c r="D26" s="12">
        <v>56000</v>
      </c>
      <c r="E26" s="12">
        <f t="shared" si="0"/>
        <v>1792000</v>
      </c>
    </row>
    <row r="27" spans="1:5" ht="15.75" customHeight="1" x14ac:dyDescent="0.25">
      <c r="D27" s="13" t="s">
        <v>30</v>
      </c>
      <c r="E27" s="12">
        <f>E9+E10+E11+E12+E13+E14+E15+E16+E17+E18+E19+E20+E21+E22+E23+E24+E25+E26</f>
        <v>32868000</v>
      </c>
    </row>
    <row r="28" spans="1:5" ht="15.75" customHeight="1" x14ac:dyDescent="0.25">
      <c r="D28" s="13" t="s">
        <v>33</v>
      </c>
      <c r="E28" s="12">
        <f>CEILING(E27*0.005,5000)</f>
        <v>165000</v>
      </c>
    </row>
    <row r="29" spans="1:5" ht="15.75" customHeight="1" x14ac:dyDescent="0.25">
      <c r="D29" s="13" t="s">
        <v>31</v>
      </c>
      <c r="E29" s="14">
        <f>COUNTA(A9:A26)*5000</f>
        <v>90000</v>
      </c>
    </row>
    <row r="30" spans="1:5" ht="15.75" customHeight="1" x14ac:dyDescent="0.25">
      <c r="D30" s="13" t="s">
        <v>32</v>
      </c>
      <c r="E30" s="15">
        <f>E27-E29-E28</f>
        <v>32613000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H. MAHFUD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cp:lastPrinted>2026-08-14T07:51:05Z</cp:lastPrinted>
  <dcterms:created xsi:type="dcterms:W3CDTF">2026-08-14T07:48:55Z</dcterms:created>
  <dcterms:modified xsi:type="dcterms:W3CDTF">2026-08-14T08:14:59Z</dcterms:modified>
</cp:coreProperties>
</file>