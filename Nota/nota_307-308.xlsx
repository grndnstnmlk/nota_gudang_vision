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gudang\Nota\"/>
    </mc:Choice>
  </mc:AlternateContent>
  <bookViews>
    <workbookView xWindow="0" yWindow="0" windowWidth="28770" windowHeight="12240"/>
  </bookViews>
  <sheets>
    <sheet name="Pegantenan" sheetId="1" r:id="rId1"/>
  </sheets>
  <calcPr calcId="152511" iterateDelta="1E-4"/>
</workbook>
</file>

<file path=xl/calcChain.xml><?xml version="1.0" encoding="utf-8"?>
<calcChain xmlns="http://schemas.openxmlformats.org/spreadsheetml/2006/main">
  <c r="E12" i="1" l="1"/>
  <c r="E13" i="1"/>
  <c r="E10" i="1"/>
  <c r="E9" i="1"/>
  <c r="E11" i="1" s="1"/>
  <c r="E14" i="1" l="1"/>
</calcChain>
</file>

<file path=xl/sharedStrings.xml><?xml version="1.0" encoding="utf-8"?>
<sst xmlns="http://schemas.openxmlformats.org/spreadsheetml/2006/main" count="18" uniqueCount="18">
  <si>
    <t>NOTA PEMBELIAN TEMBAKAU 2026</t>
  </si>
  <si>
    <t>Nama    :</t>
  </si>
  <si>
    <t>Pegantenan</t>
  </si>
  <si>
    <t>Alamat    :</t>
  </si>
  <si>
    <t>Tgl/Hr/Thn  :</t>
  </si>
  <si>
    <t>No. GUD</t>
  </si>
  <si>
    <t>BRUTO</t>
  </si>
  <si>
    <t>NETTO</t>
  </si>
  <si>
    <t>HARGA</t>
  </si>
  <si>
    <t>JUMLAH</t>
  </si>
  <si>
    <t>GL 307</t>
  </si>
  <si>
    <t>GL 308</t>
  </si>
  <si>
    <t xml:space="preserve">JUMLAH </t>
  </si>
  <si>
    <t>Koli</t>
  </si>
  <si>
    <t>TOTAL</t>
  </si>
  <si>
    <t>PPH 0,5%</t>
  </si>
  <si>
    <t>H. MAHFUD</t>
  </si>
  <si>
    <t>15 Agustus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</si>
</sst>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21]dd\ mmmm\ yyyy;@"/>
    <numFmt numFmtId="165" formatCode="[$-F800]dddd&quot;, &quot;mmmm\ dd&quot;, &quot;yyyy"/>
    <numFmt numFmtId="166" formatCode="&quot;Rp&quot;#,##0"/>
  </numFmts>
  <fonts count="7" x14ac:knownFonts="1">
    <font>
      <sz val="11"/>
      <color theme="1"/>
      <name val="Calibri"/>
      <family val="2"/>
      <scheme val="minor"/>
    </font>
    <font>
      <b/>
      <sz val="16"/>
      <name val="Bahnschrift"/>
    </font>
    <font>
      <b/>
      <sz val="11"/>
      <name val="Bahnschrift"/>
    </font>
    <font>
      <sz val="11"/>
      <name val="Bahnschrift"/>
    </font>
    <font>
      <b/>
      <sz val="12"/>
      <name val="Bahnschrift"/>
    </font>
    <font>
      <sz val="12"/>
      <name val="Bahnschrift"/>
    </font>
    <font>
      <sz val="11"/>
      <color theme="1"/>
      <name val="Bahnschrift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164" fontId="3" fillId="0" borderId="0" xfId="0" applyNumberFormat="1" applyFont="1"/>
    <xf numFmtId="165" fontId="3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3" fontId="5" fillId="0" borderId="3" xfId="0" applyNumberFormat="1" applyFont="1" applyBorder="1" applyAlignment="1">
      <alignment horizontal="center"/>
    </xf>
    <xf numFmtId="3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right"/>
    </xf>
    <xf numFmtId="166" fontId="5" fillId="0" borderId="2" xfId="0" applyNumberFormat="1" applyFont="1" applyBorder="1" applyAlignment="1">
      <alignment horizontal="center"/>
    </xf>
    <xf numFmtId="166" fontId="4" fillId="0" borderId="2" xfId="0" applyNumberFormat="1" applyFont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28575</xdr:rowOff>
    </xdr:from>
    <xdr:to>
      <xdr:col>0</xdr:col>
      <xdr:colOff>777874</xdr:colOff>
      <xdr:row>2</xdr:row>
      <xdr:rowOff>165699</xdr:rowOff>
    </xdr:to>
    <xdr:pic>
      <xdr:nvPicPr>
        <xdr:cNvPr id="2" name="Gambar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8575"/>
          <a:ext cx="577849" cy="57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4"/>
  <sheetViews>
    <sheetView showGridLines="0" tabSelected="1" workbookViewId="0">
      <selection activeCell="H25" sqref="H25"/>
    </sheetView>
  </sheetViews>
  <sheetFormatPr defaultRowHeight="15" x14ac:dyDescent="0.25"/>
  <cols>
    <col min="1" max="1" width="13.28515625" customWidth="1"/>
    <col min="2" max="2" width="12.85546875" customWidth="1"/>
    <col min="3" max="3" width="13.140625" customWidth="1"/>
    <col min="4" max="4" width="19.7109375" customWidth="1"/>
    <col min="5" max="5" width="18.42578125" customWidth="1"/>
    <col min="6" max="6" width="9.140625" customWidth="1"/>
  </cols>
  <sheetData>
    <row r="2" spans="1:5" ht="19.5" customHeight="1" x14ac:dyDescent="0.25">
      <c r="A2" s="1"/>
      <c r="B2" s="2" t="s">
        <v>0</v>
      </c>
    </row>
    <row r="3" spans="1:5" ht="22.5" customHeight="1" x14ac:dyDescent="0.25"/>
    <row r="4" spans="1:5" x14ac:dyDescent="0.25">
      <c r="A4" s="3" t="s">
        <v>1</v>
      </c>
      <c r="B4" s="4" t="s">
        <v>16</v>
      </c>
      <c r="D4" s="5"/>
    </row>
    <row r="5" spans="1:5" x14ac:dyDescent="0.25">
      <c r="A5" s="3" t="s">
        <v>3</v>
      </c>
      <c r="B5" s="4" t="s">
        <v>2</v>
      </c>
    </row>
    <row r="6" spans="1:5" x14ac:dyDescent="0.25">
      <c r="A6" s="3" t="s">
        <v>4</v>
      </c>
      <c r="B6" s="15" t="s">
        <v>17</v>
      </c>
    </row>
    <row r="7" spans="1:5" ht="15.75" customHeight="1" x14ac:dyDescent="0.25"/>
    <row r="8" spans="1:5" ht="16.5" customHeight="1" x14ac:dyDescent="0.25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</row>
    <row r="9" spans="1:5" ht="15.75" customHeight="1" x14ac:dyDescent="0.25">
      <c r="A9" s="7" t="s">
        <v>10</v>
      </c>
      <c r="B9" s="8">
        <v>46</v>
      </c>
      <c r="C9" s="9">
        <v>44</v>
      </c>
      <c r="D9" s="10">
        <v>55000</v>
      </c>
      <c r="E9" s="10">
        <f>C9*D9</f>
        <v>2420000</v>
      </c>
    </row>
    <row r="10" spans="1:5" ht="15.75" customHeight="1" x14ac:dyDescent="0.25">
      <c r="A10" s="7" t="s">
        <v>11</v>
      </c>
      <c r="B10" s="8">
        <v>39</v>
      </c>
      <c r="C10" s="9">
        <v>37</v>
      </c>
      <c r="D10" s="11">
        <v>55000</v>
      </c>
      <c r="E10" s="11">
        <f>C10*D10</f>
        <v>2035000</v>
      </c>
    </row>
    <row r="11" spans="1:5" ht="15.75" customHeight="1" x14ac:dyDescent="0.25">
      <c r="D11" s="12" t="s">
        <v>12</v>
      </c>
      <c r="E11" s="11">
        <f>E9+E10</f>
        <v>4455000</v>
      </c>
    </row>
    <row r="12" spans="1:5" ht="15.75" customHeight="1" x14ac:dyDescent="0.25">
      <c r="D12" s="12" t="s">
        <v>15</v>
      </c>
      <c r="E12" s="11">
        <f>CEILING(E11*0.005,5000)</f>
        <v>25000</v>
      </c>
    </row>
    <row r="13" spans="1:5" ht="15.75" customHeight="1" x14ac:dyDescent="0.25">
      <c r="D13" s="12" t="s">
        <v>13</v>
      </c>
      <c r="E13" s="13">
        <f>COUNTA(A9:A10)*5000</f>
        <v>10000</v>
      </c>
    </row>
    <row r="14" spans="1:5" ht="15.75" customHeight="1" x14ac:dyDescent="0.25">
      <c r="D14" s="12" t="s">
        <v>14</v>
      </c>
      <c r="E14" s="14">
        <f>E11-E13-E12</f>
        <v>4420000</v>
      </c>
    </row>
  </sheetData>
  <pageMargins left="1" right="1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Pegantenan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cp:lastPrinted>2026-08-15T03:02:39Z</cp:lastPrinted>
  <dcterms:created xsi:type="dcterms:W3CDTF">2026-08-15T02:55:20Z</dcterms:created>
  <dcterms:modified xsi:type="dcterms:W3CDTF">2026-08-15T03:24:04Z</dcterms:modified>
</cp:coreProperties>
</file>