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040" tabRatio="500" firstSheet="0" activeTab="0" autoFilterDateGrouping="1"/>
  </bookViews>
  <sheets>
    <sheet name="Buku Soter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m/d/yyyy"/>
    <numFmt numFmtId="166" formatCode="[$-421]dd\ mmmm\ yyyy;@"/>
  </numFmts>
  <fonts count="8">
    <font>
      <name val="Calibri"/>
      <charset val="1"/>
      <family val="2"/>
      <color theme="1"/>
      <sz val="11"/>
    </font>
    <font>
      <name val="Bahnschrift"/>
      <family val="2"/>
      <b val="1"/>
      <color rgb="FFFFFFFF"/>
      <sz val="11"/>
    </font>
    <font>
      <name val="Bahnschrift"/>
      <family val="2"/>
      <sz val="11"/>
    </font>
    <font>
      <name val="Bahnschrift"/>
      <family val="2"/>
      <color rgb="FF283348"/>
      <sz val="11"/>
    </font>
    <font>
      <name val="Bahnschrift"/>
      <family val="2"/>
      <color theme="1"/>
      <sz val="11"/>
    </font>
    <font>
      <name val="Bahnschrift"/>
      <family val="2"/>
      <b val="1"/>
      <sz val="14"/>
    </font>
    <font>
      <name val="Bahnschrift"/>
      <family val="2"/>
      <i val="1"/>
      <sz val="10"/>
    </font>
    <font>
      <name val="Bahnschrift"/>
      <sz val="11"/>
    </font>
  </fonts>
  <fills count="3">
    <fill>
      <patternFill/>
    </fill>
    <fill>
      <patternFill patternType="gray125"/>
    </fill>
    <fill>
      <patternFill patternType="solid">
        <fgColor rgb="FF203864"/>
        <bgColor rgb="FF283348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C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auto="1"/>
      </top>
      <bottom style="medium">
        <color rgb="FFFF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3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2" pivotButton="0" quotePrefix="0" xfId="0"/>
    <xf numFmtId="165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2" fillId="0" borderId="2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left"/>
    </xf>
    <xf numFmtId="164" fontId="2" fillId="0" borderId="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3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6" pivotButton="0" quotePrefix="0" xfId="0"/>
    <xf numFmtId="164" fontId="2" fillId="0" borderId="7" applyAlignment="1" pivotButton="0" quotePrefix="0" xfId="0">
      <alignment horizontal="center" vertical="center"/>
    </xf>
    <xf numFmtId="164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left" vertical="center"/>
    </xf>
    <xf numFmtId="3" fontId="2" fillId="0" borderId="8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2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/>
    </xf>
    <xf numFmtId="164" fontId="2" fillId="0" borderId="8" applyAlignment="1" pivotButton="0" quotePrefix="0" xfId="0">
      <alignment horizontal="center"/>
    </xf>
    <xf numFmtId="166" fontId="2" fillId="0" borderId="10" pivotButton="0" quotePrefix="0" xfId="0"/>
    <xf numFmtId="165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3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2" fillId="0" borderId="1" applyAlignment="1" pivotButton="0" quotePrefix="0" xfId="0">
      <alignment horizontal="left" vertical="center"/>
    </xf>
    <xf numFmtId="165" fontId="2" fillId="0" borderId="5" applyAlignment="1" pivotButton="0" quotePrefix="0" xfId="0">
      <alignment horizontal="left" vertical="center"/>
    </xf>
    <xf numFmtId="165" fontId="2" fillId="0" borderId="9" applyAlignment="1" pivotButton="0" quotePrefix="0" xfId="0">
      <alignment horizontal="left" vertical="center"/>
    </xf>
    <xf numFmtId="166" fontId="2" fillId="0" borderId="10" pivotButton="0" quotePrefix="0" xfId="0"/>
    <xf numFmtId="165" fontId="2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2833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8"/>
  <sheetViews>
    <sheetView tabSelected="1" zoomScale="85" zoomScaleNormal="85" workbookViewId="0">
      <pane xSplit="2" ySplit="3" topLeftCell="C309" activePane="bottomRight" state="frozen"/>
      <selection pane="topRight" activeCell="C1" sqref="C1"/>
      <selection pane="bottomLeft" activeCell="A4" sqref="A4"/>
      <selection pane="bottomRight" activeCell="U336" sqref="U336"/>
    </sheetView>
  </sheetViews>
  <sheetFormatPr baseColWidth="8" defaultColWidth="8.7109375" defaultRowHeight="14.25"/>
  <cols>
    <col width="5.85546875" customWidth="1" style="52" min="1" max="1"/>
    <col width="6.5703125" customWidth="1" style="52" min="2" max="2"/>
    <col width="4.7109375" customWidth="1" style="52" min="3" max="3"/>
    <col width="17.42578125" customWidth="1" style="52" min="4" max="4"/>
    <col width="11" customWidth="1" style="52" min="5" max="5"/>
    <col width="9" customWidth="1" style="52" min="6" max="6"/>
    <col width="8" customWidth="1" style="52" min="7" max="8"/>
    <col width="11" customWidth="1" min="8" max="8"/>
    <col width="11" customWidth="1" style="52" min="9" max="9"/>
    <col width="10" customWidth="1" style="52" min="10" max="16384"/>
    <col width="12" customWidth="1" min="11" max="11"/>
  </cols>
  <sheetData>
    <row r="1" ht="17.25" customHeight="1">
      <c r="A1" s="54" t="inlineStr">
        <is>
          <t>BUKU SORTIR 2026 GREEND</t>
        </is>
      </c>
    </row>
    <row r="2" ht="15" customHeight="1">
      <c r="A2" s="55" t="n"/>
    </row>
    <row r="3" ht="15" customHeight="1">
      <c r="A3" s="1" t="inlineStr">
        <is>
          <t>GL</t>
        </is>
      </c>
      <c r="B3" s="1" t="inlineStr">
        <is>
          <t>NO</t>
        </is>
      </c>
      <c r="C3" s="1" t="inlineStr">
        <is>
          <t>GT</t>
        </is>
      </c>
      <c r="D3" s="1" t="inlineStr">
        <is>
          <t>NAMA</t>
        </is>
      </c>
      <c r="E3" s="1" t="inlineStr">
        <is>
          <t>GRADE</t>
        </is>
      </c>
      <c r="F3" s="1" t="inlineStr">
        <is>
          <t>HARGA</t>
        </is>
      </c>
      <c r="G3" s="1" t="inlineStr">
        <is>
          <t>KG</t>
        </is>
      </c>
      <c r="H3" s="1" t="inlineStr">
        <is>
          <t>BRT</t>
        </is>
      </c>
      <c r="I3" s="1" t="inlineStr">
        <is>
          <t>BRT FIX</t>
        </is>
      </c>
      <c r="J3" s="1" t="inlineStr">
        <is>
          <t>NET</t>
        </is>
      </c>
      <c r="K3" s="1" t="inlineStr">
        <is>
          <t>KET</t>
        </is>
      </c>
    </row>
    <row r="4" ht="15" customHeight="1">
      <c r="A4" s="2" t="n"/>
      <c r="B4" s="2" t="n">
        <v>1</v>
      </c>
      <c r="C4" s="3" t="n"/>
      <c r="D4" s="3" t="inlineStr">
        <is>
          <t>AMIR</t>
        </is>
      </c>
      <c r="E4" s="4" t="n">
        <v>65</v>
      </c>
      <c r="F4" s="5">
        <f>IF(E4="","",E4*1000)</f>
        <v/>
      </c>
      <c r="G4" s="6" t="n">
        <v>52.4</v>
      </c>
      <c r="H4" s="56">
        <f>IF(I4&lt;&gt;"",I4,IF(G4="","",IF(ROUND(MOD(G4,1),1)&lt;=0.4,INT(G4)-1,INT(G4))))</f>
        <v/>
      </c>
      <c r="I4" s="56" t="n"/>
      <c r="J4" s="57">
        <f>IF(H4="","",IF(LOWER(A4)="gl",H4-2,IF(H4&gt;=60,H4-5,IF(AND(H4&gt;=50,H4&lt;60),H4-4,IF(AND(H4&gt;=10,H4&lt;50),H4-3,H4)))))</f>
        <v/>
      </c>
      <c r="K4" s="57" t="n"/>
    </row>
    <row r="5" ht="15" customHeight="1">
      <c r="A5" s="2" t="n"/>
      <c r="B5" s="2" t="n">
        <v>2</v>
      </c>
      <c r="C5" s="3" t="n"/>
      <c r="D5" s="58" t="inlineStr">
        <is>
          <t>(7/8/26)</t>
        </is>
      </c>
      <c r="E5" s="4" t="n">
        <v>65</v>
      </c>
      <c r="F5" s="5">
        <f>IF(E5="","",E5*1000)</f>
        <v/>
      </c>
      <c r="G5" s="6" t="n">
        <v>51.8</v>
      </c>
      <c r="H5" s="56">
        <f>IF(I5&lt;&gt;"",I5,IF(G5="","",IF(ROUND(MOD(G5,1),1)&lt;=0.4,INT(G5)-1,INT(G5))))</f>
        <v/>
      </c>
      <c r="I5" s="56" t="n"/>
      <c r="J5" s="57">
        <f>IF(H5="","",IF(LOWER(A5)="gl",H5-2,IF(H5&gt;=60,H5-5,IF(AND(H5&gt;=50,H5&lt;60),H5-4,IF(AND(H5&gt;=10,H5&lt;50),H5-3,H5)))))</f>
        <v/>
      </c>
      <c r="K5" s="57" t="n"/>
    </row>
    <row r="6" ht="15" customHeight="1">
      <c r="A6" s="2" t="n"/>
      <c r="B6" s="2" t="n">
        <v>3</v>
      </c>
      <c r="C6" s="3" t="n"/>
      <c r="D6" s="3" t="n"/>
      <c r="E6" s="4" t="n">
        <v>65</v>
      </c>
      <c r="F6" s="5">
        <f>IF(E6="","",E6*1000)</f>
        <v/>
      </c>
      <c r="G6" s="6" t="n">
        <v>36.8</v>
      </c>
      <c r="H6" s="56">
        <f>IF(I6&lt;&gt;"",I6,IF(G6="","",IF(ROUND(MOD(G6,1),1)&lt;=0.4,INT(G6)-1,INT(G6))))</f>
        <v/>
      </c>
      <c r="I6" s="56" t="n"/>
      <c r="J6" s="57">
        <f>IF(H6="","",IF(LOWER(A6)="gl",H6-2,IF(H6&gt;=60,H6-5,IF(AND(H6&gt;=50,H6&lt;60),H6-4,IF(AND(H6&gt;=10,H6&lt;50),H6-3,H6)))))</f>
        <v/>
      </c>
      <c r="K6" s="57" t="n"/>
    </row>
    <row r="7" ht="15" customHeight="1">
      <c r="A7" s="2" t="n"/>
      <c r="B7" s="2" t="n">
        <v>4</v>
      </c>
      <c r="C7" s="3" t="n"/>
      <c r="D7" s="3" t="n"/>
      <c r="E7" s="4" t="n">
        <v>65</v>
      </c>
      <c r="F7" s="5">
        <f>IF(E7="","",E7*1000)</f>
        <v/>
      </c>
      <c r="G7" s="6" t="n">
        <v>39.7</v>
      </c>
      <c r="H7" s="56">
        <f>IF(I7&lt;&gt;"",I7,IF(G7="","",IF(ROUND(MOD(G7,1),1)&lt;=0.4,INT(G7)-1,INT(G7))))</f>
        <v/>
      </c>
      <c r="I7" s="56" t="n"/>
      <c r="J7" s="57">
        <f>IF(H7="","",IF(LOWER(A7)="gl",H7-2,IF(H7&gt;=60,H7-5,IF(AND(H7&gt;=50,H7&lt;60),H7-4,IF(AND(H7&gt;=10,H7&lt;50),H7-3,H7)))))</f>
        <v/>
      </c>
      <c r="K7" s="57" t="n"/>
    </row>
    <row r="8" ht="15" customHeight="1">
      <c r="A8" s="2" t="n"/>
      <c r="B8" s="2" t="n">
        <v>5</v>
      </c>
      <c r="C8" s="3" t="n"/>
      <c r="D8" s="3" t="n"/>
      <c r="E8" s="4" t="n">
        <v>65</v>
      </c>
      <c r="F8" s="5">
        <f>IF(E8="","",E8*1000)</f>
        <v/>
      </c>
      <c r="G8" s="6" t="n">
        <v>36</v>
      </c>
      <c r="H8" s="56">
        <f>IF(I8&lt;&gt;"",I8,IF(G8="","",IF(ROUND(MOD(G8,1),1)&lt;=0.4,INT(G8)-1,INT(G8))))</f>
        <v/>
      </c>
      <c r="I8" s="56" t="n"/>
      <c r="J8" s="57">
        <f>IF(H8="","",IF(LOWER(A8)="gl",H8-2,IF(H8&gt;=60,H8-5,IF(AND(H8&gt;=50,H8&lt;60),H8-4,IF(AND(H8&gt;=10,H8&lt;50),H8-3,H8)))))</f>
        <v/>
      </c>
      <c r="K8" s="57" t="n"/>
    </row>
    <row r="9" ht="15" customHeight="1">
      <c r="A9" s="2" t="n"/>
      <c r="B9" s="2" t="n">
        <v>6</v>
      </c>
      <c r="C9" s="3" t="n"/>
      <c r="D9" s="3" t="n"/>
      <c r="E9" s="4" t="n">
        <v>63</v>
      </c>
      <c r="F9" s="5">
        <f>IF(E9="","",E9*1000)</f>
        <v/>
      </c>
      <c r="G9" s="6" t="n">
        <v>35.6</v>
      </c>
      <c r="H9" s="56">
        <f>IF(I9&lt;&gt;"",I9,IF(G9="","",IF(ROUND(MOD(G9,1),1)&lt;=0.4,INT(G9)-1,INT(G9))))</f>
        <v/>
      </c>
      <c r="I9" s="56" t="n"/>
      <c r="J9" s="57">
        <f>IF(H9="","",IF(LOWER(A9)="gl",H9-2,IF(H9&gt;=60,H9-5,IF(AND(H9&gt;=50,H9&lt;60),H9-4,IF(AND(H9&gt;=10,H9&lt;50),H9-3,H9)))))</f>
        <v/>
      </c>
      <c r="K9" s="57" t="n"/>
    </row>
    <row r="10" ht="15" customHeight="1">
      <c r="A10" s="2" t="n"/>
      <c r="B10" s="2" t="n">
        <v>7</v>
      </c>
      <c r="C10" s="3" t="inlineStr">
        <is>
          <t>GT</t>
        </is>
      </c>
      <c r="D10" s="3" t="n"/>
      <c r="E10" s="4" t="n">
        <v>63</v>
      </c>
      <c r="F10" s="5">
        <f>IF(E10="","",E10*1000)</f>
        <v/>
      </c>
      <c r="G10" s="6" t="n">
        <v>48.7</v>
      </c>
      <c r="H10" s="56">
        <f>IF(I10&lt;&gt;"",I10,IF(G10="","",IF(ROUND(MOD(G10,1),1)&lt;=0.4,INT(G10)-1,INT(G10))))</f>
        <v/>
      </c>
      <c r="I10" s="56" t="n"/>
      <c r="J10" s="57">
        <f>IF(H10="","",IF(LOWER(A10)="gl",H10-2,IF(H10&gt;=60,H10-5,IF(AND(H10&gt;=50,H10&lt;60),H10-4,IF(AND(H10&gt;=10,H10&lt;50),H10-3,H10)))))</f>
        <v/>
      </c>
      <c r="K10" s="57" t="n"/>
    </row>
    <row r="11" ht="15" customHeight="1">
      <c r="A11" s="2" t="n"/>
      <c r="B11" s="2" t="n">
        <v>8</v>
      </c>
      <c r="C11" s="3" t="n"/>
      <c r="D11" s="3" t="n"/>
      <c r="E11" s="4" t="n">
        <v>63</v>
      </c>
      <c r="F11" s="5">
        <f>IF(E11="","",E11*1000)</f>
        <v/>
      </c>
      <c r="G11" s="6" t="n">
        <v>37.2</v>
      </c>
      <c r="H11" s="56">
        <f>IF(I11&lt;&gt;"",I11,IF(G11="","",IF(ROUND(MOD(G11,1),1)&lt;=0.4,INT(G11)-1,INT(G11))))</f>
        <v/>
      </c>
      <c r="I11" s="56" t="n"/>
      <c r="J11" s="57">
        <f>IF(H11="","",IF(LOWER(A11)="gl",H11-2,IF(H11&gt;=60,H11-5,IF(AND(H11&gt;=50,H11&lt;60),H11-4,IF(AND(H11&gt;=10,H11&lt;50),H11-3,H11)))))</f>
        <v/>
      </c>
      <c r="K11" s="57" t="n"/>
    </row>
    <row r="12" ht="15" customHeight="1" thickBot="1">
      <c r="A12" s="35" t="n"/>
      <c r="B12" s="35" t="n">
        <v>9</v>
      </c>
      <c r="C12" s="36" t="inlineStr">
        <is>
          <t>GT</t>
        </is>
      </c>
      <c r="D12" s="36" t="n"/>
      <c r="E12" s="47" t="n">
        <v>63</v>
      </c>
      <c r="F12" s="37">
        <f>IF(E12="","",E12*1000)</f>
        <v/>
      </c>
      <c r="G12" s="44" t="n">
        <v>34.6</v>
      </c>
      <c r="H12" s="56">
        <f>IF(I12&lt;&gt;"",I12,IF(G12="","",IF(ROUND(MOD(G12,1),1)&lt;=0.4,INT(G12)-1,INT(G12))))</f>
        <v/>
      </c>
      <c r="I12" s="56" t="n"/>
      <c r="J12" s="57">
        <f>IF(H12="","",IF(LOWER(A12)="gl",H12-2,IF(H12&gt;=60,H12-5,IF(AND(H12&gt;=50,H12&lt;60),H12-4,IF(AND(H12&gt;=10,H12&lt;50),H12-3,H12)))))</f>
        <v/>
      </c>
      <c r="K12" s="57" t="n"/>
    </row>
    <row r="13" ht="15" customHeight="1">
      <c r="A13" s="10" t="n"/>
      <c r="B13" s="10" t="n">
        <v>10</v>
      </c>
      <c r="C13" s="11" t="n"/>
      <c r="D13" s="12" t="inlineStr">
        <is>
          <t>H.HANAN</t>
        </is>
      </c>
      <c r="E13" s="19" t="n">
        <v>65</v>
      </c>
      <c r="F13" s="13">
        <f>IF(E13="","",E13*1000)</f>
        <v/>
      </c>
      <c r="G13" s="22" t="n">
        <v>44.5</v>
      </c>
      <c r="H13" s="56">
        <f>IF(I13&lt;&gt;"",I13,IF(G13="","",IF(ROUND(MOD(G13,1),1)&lt;=0.4,INT(G13)-1,INT(G13))))</f>
        <v/>
      </c>
      <c r="I13" s="56" t="n"/>
      <c r="J13" s="57">
        <f>IF(H13="","",IF(LOWER(A13)="gl",H13-2,IF(H13&gt;=60,H13-5,IF(AND(H13&gt;=50,H13&lt;60),H13-4,IF(AND(H13&gt;=10,H13&lt;50),H13-3,H13)))))</f>
        <v/>
      </c>
      <c r="K13" s="57" t="n"/>
    </row>
    <row r="14" ht="15" customHeight="1">
      <c r="A14" s="2" t="n"/>
      <c r="B14" s="2" t="n">
        <v>11</v>
      </c>
      <c r="C14" s="3" t="n"/>
      <c r="D14" s="59" t="inlineStr">
        <is>
          <t>(7/8/26)</t>
        </is>
      </c>
      <c r="E14" s="4" t="n">
        <v>65</v>
      </c>
      <c r="F14" s="5">
        <f>IF(E14="","",E14*1000)</f>
        <v/>
      </c>
      <c r="G14" s="6" t="n">
        <v>54.2</v>
      </c>
      <c r="H14" s="56">
        <f>IF(I14&lt;&gt;"",I14,IF(G14="","",IF(ROUND(MOD(G14,1),1)&lt;=0.4,INT(G14)-1,INT(G14))))</f>
        <v/>
      </c>
      <c r="I14" s="56" t="n"/>
      <c r="J14" s="57">
        <f>IF(H14="","",IF(LOWER(A14)="gl",H14-2,IF(H14&gt;=60,H14-5,IF(AND(H14&gt;=50,H14&lt;60),H14-4,IF(AND(H14&gt;=10,H14&lt;50),H14-3,H14)))))</f>
        <v/>
      </c>
      <c r="K14" s="57" t="n"/>
    </row>
    <row r="15" ht="15" customHeight="1">
      <c r="A15" s="2" t="n"/>
      <c r="B15" s="2" t="n">
        <v>12</v>
      </c>
      <c r="C15" s="3" t="n"/>
      <c r="D15" s="17" t="n"/>
      <c r="E15" s="4" t="n">
        <v>65</v>
      </c>
      <c r="F15" s="5">
        <f>IF(E15="","",E15*1000)</f>
        <v/>
      </c>
      <c r="G15" s="6" t="n">
        <v>56.2</v>
      </c>
      <c r="H15" s="56">
        <f>IF(I15&lt;&gt;"",I15,IF(G15="","",IF(ROUND(MOD(G15,1),1)&lt;=0.4,INT(G15)-1,INT(G15))))</f>
        <v/>
      </c>
      <c r="I15" s="56" t="n"/>
      <c r="J15" s="57">
        <f>IF(H15="","",IF(LOWER(A15)="gl",H15-2,IF(H15&gt;=60,H15-5,IF(AND(H15&gt;=50,H15&lt;60),H15-4,IF(AND(H15&gt;=10,H15&lt;50),H15-3,H15)))))</f>
        <v/>
      </c>
      <c r="K15" s="57" t="n"/>
    </row>
    <row r="16" ht="15" customHeight="1">
      <c r="A16" s="2" t="n"/>
      <c r="B16" s="2" t="n">
        <v>13</v>
      </c>
      <c r="C16" s="3" t="n"/>
      <c r="D16" s="17" t="n"/>
      <c r="E16" s="4" t="n">
        <v>65</v>
      </c>
      <c r="F16" s="5">
        <f>IF(E16="","",E16*1000)</f>
        <v/>
      </c>
      <c r="G16" s="6" t="n">
        <v>75.59999999999999</v>
      </c>
      <c r="H16" s="56">
        <f>IF(I16&lt;&gt;"",I16,IF(G16="","",IF(ROUND(MOD(G16,1),1)&lt;=0.4,INT(G16)-1,INT(G16))))</f>
        <v/>
      </c>
      <c r="I16" s="56" t="n"/>
      <c r="J16" s="57">
        <f>IF(H16="","",IF(LOWER(A16)="gl",H16-2,IF(H16&gt;=60,H16-5,IF(AND(H16&gt;=50,H16&lt;60),H16-4,IF(AND(H16&gt;=10,H16&lt;50),H16-3,H16)))))</f>
        <v/>
      </c>
      <c r="K16" s="57" t="n"/>
    </row>
    <row r="17" ht="15" customHeight="1">
      <c r="A17" s="2" t="n"/>
      <c r="B17" s="2" t="n">
        <v>14</v>
      </c>
      <c r="C17" s="3" t="n"/>
      <c r="D17" s="17" t="n"/>
      <c r="E17" s="4" t="n">
        <v>65</v>
      </c>
      <c r="F17" s="5">
        <f>IF(E17="","",E17*1000)</f>
        <v/>
      </c>
      <c r="G17" s="6" t="n">
        <v>41.2</v>
      </c>
      <c r="H17" s="56">
        <f>IF(I17&lt;&gt;"",I17,IF(G17="","",IF(ROUND(MOD(G17,1),1)&lt;=0.4,INT(G17)-1,INT(G17))))</f>
        <v/>
      </c>
      <c r="I17" s="56" t="n"/>
      <c r="J17" s="57">
        <f>IF(H17="","",IF(LOWER(A17)="gl",H17-2,IF(H17&gt;=60,H17-5,IF(AND(H17&gt;=50,H17&lt;60),H17-4,IF(AND(H17&gt;=10,H17&lt;50),H17-3,H17)))))</f>
        <v/>
      </c>
      <c r="K17" s="57" t="n"/>
    </row>
    <row r="18" ht="15" customHeight="1" thickBot="1">
      <c r="A18" s="35" t="n"/>
      <c r="B18" s="35" t="n">
        <v>15</v>
      </c>
      <c r="C18" s="36" t="n"/>
      <c r="D18" s="42" t="n"/>
      <c r="E18" s="43" t="n">
        <v>56</v>
      </c>
      <c r="F18" s="37">
        <f>IF(E18="","",E18*1000)</f>
        <v/>
      </c>
      <c r="G18" s="44" t="n">
        <v>48.9</v>
      </c>
      <c r="H18" s="56">
        <f>IF(I18&lt;&gt;"",I18,IF(G18="","",IF(ROUND(MOD(G18,1),1)&lt;=0.4,INT(G18)-1,INT(G18))))</f>
        <v/>
      </c>
      <c r="I18" s="56" t="n"/>
      <c r="J18" s="57">
        <f>IF(H18="","",IF(LOWER(A18)="gl",H18-2,IF(H18&gt;=60,H18-5,IF(AND(H18&gt;=50,H18&lt;60),H18-4,IF(AND(H18&gt;=10,H18&lt;50),H18-3,H18)))))</f>
        <v/>
      </c>
      <c r="K18" s="57" t="n"/>
    </row>
    <row r="19" ht="15" customHeight="1">
      <c r="A19" s="10" t="n"/>
      <c r="B19" s="10" t="n">
        <v>16</v>
      </c>
      <c r="C19" s="11" t="n"/>
      <c r="D19" s="12" t="inlineStr">
        <is>
          <t>SIPUL</t>
        </is>
      </c>
      <c r="E19" s="19" t="n">
        <v>62</v>
      </c>
      <c r="F19" s="13">
        <f>IF(E19="","",E19*1000)</f>
        <v/>
      </c>
      <c r="G19" s="22" t="n">
        <v>67.09999999999999</v>
      </c>
      <c r="H19" s="56">
        <f>IF(I19&lt;&gt;"",I19,IF(G19="","",IF(ROUND(MOD(G19,1),1)&lt;=0.4,INT(G19)-1,INT(G19))))</f>
        <v/>
      </c>
      <c r="I19" s="56" t="n"/>
      <c r="J19" s="57">
        <f>IF(H19="","",IF(LOWER(A19)="gl",H19-2,IF(H19&gt;=60,H19-5,IF(AND(H19&gt;=50,H19&lt;60),H19-4,IF(AND(H19&gt;=10,H19&lt;50),H19-3,H19)))))</f>
        <v/>
      </c>
      <c r="K19" s="57" t="n"/>
    </row>
    <row r="20" ht="15" customHeight="1" thickBot="1">
      <c r="A20" s="35" t="n"/>
      <c r="B20" s="35" t="n">
        <v>17</v>
      </c>
      <c r="C20" s="36" t="n"/>
      <c r="D20" s="60" t="inlineStr">
        <is>
          <t>(7/8/26)</t>
        </is>
      </c>
      <c r="E20" s="43" t="n">
        <v>64</v>
      </c>
      <c r="F20" s="37">
        <f>IF(E20="","",E20*1000)</f>
        <v/>
      </c>
      <c r="G20" s="44" t="n">
        <v>57.2</v>
      </c>
      <c r="H20" s="56">
        <f>IF(I20&lt;&gt;"",I20,IF(G20="","",IF(ROUND(MOD(G20,1),1)&lt;=0.4,INT(G20)-1,INT(G20))))</f>
        <v/>
      </c>
      <c r="I20" s="56" t="n"/>
      <c r="J20" s="57">
        <f>IF(H20="","",IF(LOWER(A20)="gl",H20-2,IF(H20&gt;=60,H20-5,IF(AND(H20&gt;=50,H20&lt;60),H20-4,IF(AND(H20&gt;=10,H20&lt;50),H20-3,H20)))))</f>
        <v/>
      </c>
      <c r="K20" s="57" t="n"/>
    </row>
    <row r="21" ht="15" customHeight="1">
      <c r="A21" s="10" t="n"/>
      <c r="B21" s="10" t="n">
        <v>18</v>
      </c>
      <c r="C21" s="20" t="n"/>
      <c r="D21" s="61" t="inlineStr">
        <is>
          <t>BAHRUDDIN</t>
        </is>
      </c>
      <c r="E21" s="19" t="n">
        <v>53</v>
      </c>
      <c r="F21" s="13">
        <f>IF(E21="","",E21*1000)</f>
        <v/>
      </c>
      <c r="G21" s="22" t="n">
        <v>47.5</v>
      </c>
      <c r="H21" s="56">
        <f>IF(I21&lt;&gt;"",I21,IF(G21="","",IF(ROUND(MOD(G21,1),1)&lt;=0.4,INT(G21)-1,INT(G21))))</f>
        <v/>
      </c>
      <c r="I21" s="56" t="n"/>
      <c r="J21" s="57">
        <f>IF(H21="","",IF(LOWER(A21)="gl",H21-2,IF(H21&gt;=60,H21-5,IF(AND(H21&gt;=50,H21&lt;60),H21-4,IF(AND(H21&gt;=10,H21&lt;50),H21-3,H21)))))</f>
        <v/>
      </c>
      <c r="K21" s="57" t="inlineStr">
        <is>
          <t>ada bs</t>
        </is>
      </c>
      <c r="L21" s="2" t="inlineStr">
        <is>
          <t>bs</t>
        </is>
      </c>
      <c r="M21" s="3" t="n"/>
      <c r="N21" s="2" t="n">
        <v>20</v>
      </c>
      <c r="O21" s="5">
        <f>IF(N21="","",N21*1000)</f>
        <v/>
      </c>
      <c r="P21" s="23" t="n">
        <v>48.4</v>
      </c>
      <c r="Q21" s="7">
        <f>IF(P21="","",IF(AND(ROUND(MOD(P21,1),1)&gt;0,ROUND(MOD(P21,1),1)&lt;=0.3),INT(P21)-1,INT(P21)))</f>
        <v/>
      </c>
      <c r="R21" s="7">
        <f>IF(P21="","",IF(LOWER(J21)="gl",P21-2,IF(AND(P21&gt;=60,P21&lt;=70),P21-5,IF(AND(P21&gt;=50,P21&lt;60),P21-4,IF(AND(P21&gt;=10,P21&lt;50),P21-3,P21)))))</f>
        <v/>
      </c>
    </row>
    <row r="22" ht="15" customHeight="1">
      <c r="A22" s="48" t="n"/>
      <c r="B22" s="2" t="n">
        <v>19</v>
      </c>
      <c r="C22" s="21" t="inlineStr">
        <is>
          <t>GT</t>
        </is>
      </c>
      <c r="D22" s="3" t="inlineStr">
        <is>
          <t>(8/8/26)</t>
        </is>
      </c>
      <c r="E22" s="4" t="n">
        <v>54</v>
      </c>
      <c r="F22" s="5">
        <f>IF(E22="","",E22*1000)</f>
        <v/>
      </c>
      <c r="G22" s="6" t="n">
        <v>43.2</v>
      </c>
      <c r="H22" s="56">
        <f>IF(I22&lt;&gt;"",I22,IF(G22="","",IF(ROUND(MOD(G22,1),1)&lt;=0.4,INT(G22)-1,INT(G22))))</f>
        <v/>
      </c>
      <c r="I22" s="56" t="n"/>
      <c r="J22" s="57">
        <f>IF(H22="","",IF(LOWER(A22)="gl",H22-2,IF(H22&gt;=60,H22-5,IF(AND(H22&gt;=50,H22&lt;60),H22-4,IF(AND(H22&gt;=10,H22&lt;50),H22-3,H22)))))</f>
        <v/>
      </c>
      <c r="K22" s="57" t="n"/>
    </row>
    <row r="23" ht="15" customHeight="1">
      <c r="A23" s="2" t="n"/>
      <c r="B23" s="2" t="n">
        <v>20</v>
      </c>
      <c r="C23" s="3" t="n"/>
      <c r="D23" s="17" t="n"/>
      <c r="E23" s="4" t="n">
        <v>54</v>
      </c>
      <c r="F23" s="5">
        <f>IF(E23="","",E23*1000)</f>
        <v/>
      </c>
      <c r="G23" s="6" t="n">
        <v>45.7</v>
      </c>
      <c r="H23" s="56">
        <f>IF(I23&lt;&gt;"",I23,IF(G23="","",IF(ROUND(MOD(G23,1),1)&lt;=0.4,INT(G23)-1,INT(G23))))</f>
        <v/>
      </c>
      <c r="I23" s="56" t="n"/>
      <c r="J23" s="57">
        <f>IF(H23="","",IF(LOWER(A23)="gl",H23-2,IF(H23&gt;=60,H23-5,IF(AND(H23&gt;=50,H23&lt;60),H23-4,IF(AND(H23&gt;=10,H23&lt;50),H23-3,H23)))))</f>
        <v/>
      </c>
      <c r="K23" s="57" t="n"/>
    </row>
    <row r="24" ht="15" customHeight="1">
      <c r="A24" s="48" t="n"/>
      <c r="B24" s="2" t="n">
        <v>21</v>
      </c>
      <c r="C24" s="3" t="inlineStr">
        <is>
          <t>GT</t>
        </is>
      </c>
      <c r="D24" s="17" t="n"/>
      <c r="E24" s="4" t="n">
        <v>54</v>
      </c>
      <c r="F24" s="5">
        <f>IF(E24="","",E24*1000)</f>
        <v/>
      </c>
      <c r="G24" s="6" t="n">
        <v>43.7</v>
      </c>
      <c r="H24" s="56">
        <f>IF(I24&lt;&gt;"",I24,IF(G24="","",IF(ROUND(MOD(G24,1),1)&lt;=0.4,INT(G24)-1,INT(G24))))</f>
        <v/>
      </c>
      <c r="I24" s="56" t="n"/>
      <c r="J24" s="57">
        <f>IF(H24="","",IF(LOWER(A24)="gl",H24-2,IF(H24&gt;=60,H24-5,IF(AND(H24&gt;=50,H24&lt;60),H24-4,IF(AND(H24&gt;=10,H24&lt;50),H24-3,H24)))))</f>
        <v/>
      </c>
      <c r="K24" s="57" t="n"/>
    </row>
    <row r="25" ht="15" customHeight="1">
      <c r="A25" s="2" t="n"/>
      <c r="B25" s="2" t="n">
        <v>22</v>
      </c>
      <c r="C25" s="3" t="n"/>
      <c r="D25" s="17" t="n"/>
      <c r="E25" s="4" t="n">
        <v>56</v>
      </c>
      <c r="F25" s="5">
        <f>IF(E25="","",E25*1000)</f>
        <v/>
      </c>
      <c r="G25" s="6" t="n">
        <v>51</v>
      </c>
      <c r="H25" s="56">
        <f>IF(I25&lt;&gt;"",I25,IF(G25="","",IF(ROUND(MOD(G25,1),1)&lt;=0.4,INT(G25)-1,INT(G25))))</f>
        <v/>
      </c>
      <c r="I25" s="56" t="n"/>
      <c r="J25" s="57">
        <f>IF(H25="","",IF(LOWER(A25)="gl",H25-2,IF(H25&gt;=60,H25-5,IF(AND(H25&gt;=50,H25&lt;60),H25-4,IF(AND(H25&gt;=10,H25&lt;50),H25-3,H25)))))</f>
        <v/>
      </c>
      <c r="K25" s="57" t="n"/>
    </row>
    <row r="26" ht="15" customHeight="1">
      <c r="A26" s="48" t="n"/>
      <c r="B26" s="2" t="n">
        <v>23</v>
      </c>
      <c r="C26" s="3" t="inlineStr">
        <is>
          <t>GT</t>
        </is>
      </c>
      <c r="D26" s="17" t="n"/>
      <c r="E26" s="4" t="n">
        <v>56</v>
      </c>
      <c r="F26" s="5">
        <f>IF(E26="","",E26*1000)</f>
        <v/>
      </c>
      <c r="G26" s="6" t="n">
        <v>46.3</v>
      </c>
      <c r="H26" s="56">
        <f>IF(I26&lt;&gt;"",I26,IF(G26="","",IF(ROUND(MOD(G26,1),1)&lt;=0.4,INT(G26)-1,INT(G26))))</f>
        <v/>
      </c>
      <c r="I26" s="56" t="n"/>
      <c r="J26" s="57">
        <f>IF(H26="","",IF(LOWER(A26)="gl",H26-2,IF(H26&gt;=60,H26-5,IF(AND(H26&gt;=50,H26&lt;60),H26-4,IF(AND(H26&gt;=10,H26&lt;50),H26-3,H26)))))</f>
        <v/>
      </c>
      <c r="K26" s="57" t="n"/>
    </row>
    <row r="27" ht="15" customHeight="1">
      <c r="A27" s="48" t="n"/>
      <c r="B27" s="2" t="n">
        <v>24</v>
      </c>
      <c r="C27" s="3" t="inlineStr">
        <is>
          <t>GT</t>
        </is>
      </c>
      <c r="D27" s="17" t="n"/>
      <c r="E27" s="4" t="n">
        <v>42</v>
      </c>
      <c r="F27" s="5">
        <f>IF(E27="","",E27*1000)</f>
        <v/>
      </c>
      <c r="G27" s="6" t="n">
        <v>55.6</v>
      </c>
      <c r="H27" s="56">
        <f>IF(I27&lt;&gt;"",I27,IF(G27="","",IF(ROUND(MOD(G27,1),1)&lt;=0.4,INT(G27)-1,INT(G27))))</f>
        <v/>
      </c>
      <c r="I27" s="56" t="n"/>
      <c r="J27" s="57">
        <f>IF(H27="","",IF(LOWER(A27)="gl",H27-2,IF(H27&gt;=60,H27-5,IF(AND(H27&gt;=50,H27&lt;60),H27-4,IF(AND(H27&gt;=10,H27&lt;50),H27-3,H27)))))</f>
        <v/>
      </c>
      <c r="K27" s="57" t="n"/>
    </row>
    <row r="28" ht="15" customHeight="1">
      <c r="A28" s="2" t="n"/>
      <c r="B28" s="2" t="n">
        <v>25</v>
      </c>
      <c r="C28" s="3" t="n"/>
      <c r="D28" s="17" t="n"/>
      <c r="E28" s="4" t="n">
        <v>30</v>
      </c>
      <c r="F28" s="5">
        <f>IF(E28="","",E28*1000)</f>
        <v/>
      </c>
      <c r="G28" s="6" t="n">
        <v>29</v>
      </c>
      <c r="H28" s="56">
        <f>IF(I28&lt;&gt;"",I28,IF(G28="","",IF(ROUND(MOD(G28,1),1)&lt;=0.4,INT(G28)-1,INT(G28))))</f>
        <v/>
      </c>
      <c r="I28" s="56" t="n"/>
      <c r="J28" s="57">
        <f>IF(H28="","",IF(LOWER(A28)="gl",H28-2,IF(H28&gt;=60,H28-5,IF(AND(H28&gt;=50,H28&lt;60),H28-4,IF(AND(H28&gt;=10,H28&lt;50),H28-3,H28)))))</f>
        <v/>
      </c>
      <c r="K28" s="57" t="n"/>
    </row>
    <row r="29" ht="15" customHeight="1">
      <c r="A29" s="2" t="n"/>
      <c r="B29" s="2" t="n">
        <v>26</v>
      </c>
      <c r="C29" s="3" t="n"/>
      <c r="D29" s="17" t="n"/>
      <c r="E29" s="4" t="n">
        <v>46</v>
      </c>
      <c r="F29" s="5">
        <f>IF(E29="","",E29*1000)</f>
        <v/>
      </c>
      <c r="G29" s="6" t="n">
        <v>49.5</v>
      </c>
      <c r="H29" s="56">
        <f>IF(I29&lt;&gt;"",I29,IF(G29="","",IF(ROUND(MOD(G29,1),1)&lt;=0.4,INT(G29)-1,INT(G29))))</f>
        <v/>
      </c>
      <c r="I29" s="56" t="n"/>
      <c r="J29" s="57">
        <f>IF(H29="","",IF(LOWER(A29)="gl",H29-2,IF(H29&gt;=60,H29-5,IF(AND(H29&gt;=50,H29&lt;60),H29-4,IF(AND(H29&gt;=10,H29&lt;50),H29-3,H29)))))</f>
        <v/>
      </c>
      <c r="K29" s="57" t="n"/>
    </row>
    <row r="30" ht="15" customHeight="1">
      <c r="A30" s="2" t="n"/>
      <c r="B30" s="2" t="n">
        <v>27</v>
      </c>
      <c r="C30" s="3" t="n"/>
      <c r="D30" s="17" t="n"/>
      <c r="E30" s="4" t="n">
        <v>46</v>
      </c>
      <c r="F30" s="5">
        <f>IF(E30="","",E30*1000)</f>
        <v/>
      </c>
      <c r="G30" s="6" t="n">
        <v>50.4</v>
      </c>
      <c r="H30" s="56">
        <f>IF(I30&lt;&gt;"",I30,IF(G30="","",IF(ROUND(MOD(G30,1),1)&lt;=0.4,INT(G30)-1,INT(G30))))</f>
        <v/>
      </c>
      <c r="I30" s="56" t="n"/>
      <c r="J30" s="57">
        <f>IF(H30="","",IF(LOWER(A30)="gl",H30-2,IF(H30&gt;=60,H30-5,IF(AND(H30&gt;=50,H30&lt;60),H30-4,IF(AND(H30&gt;=10,H30&lt;50),H30-3,H30)))))</f>
        <v/>
      </c>
      <c r="K30" s="57" t="n"/>
    </row>
    <row r="31" ht="15" customHeight="1">
      <c r="A31" s="49" t="n"/>
      <c r="B31" s="2" t="n">
        <v>28</v>
      </c>
      <c r="C31" s="3" t="inlineStr">
        <is>
          <t>GT</t>
        </is>
      </c>
      <c r="D31" s="17" t="n"/>
      <c r="E31" s="4" t="n">
        <v>40</v>
      </c>
      <c r="F31" s="5">
        <f>IF(E31="","",E31*1000)</f>
        <v/>
      </c>
      <c r="G31" s="6" t="n">
        <v>48.9</v>
      </c>
      <c r="H31" s="56">
        <f>IF(I31&lt;&gt;"",I31,IF(G31="","",IF(ROUND(MOD(G31,1),1)&lt;=0.4,INT(G31)-1,INT(G31))))</f>
        <v/>
      </c>
      <c r="I31" s="56" t="n"/>
      <c r="J31" s="57">
        <f>IF(H31="","",IF(LOWER(A31)="gl",H31-2,IF(H31&gt;=60,H31-5,IF(AND(H31&gt;=50,H31&lt;60),H31-4,IF(AND(H31&gt;=10,H31&lt;50),H31-3,H31)))))</f>
        <v/>
      </c>
      <c r="K31" s="57" t="n"/>
    </row>
    <row r="32" ht="15" customHeight="1" thickBot="1">
      <c r="A32" s="35" t="n"/>
      <c r="B32" s="35" t="n">
        <v>29</v>
      </c>
      <c r="C32" s="36" t="n"/>
      <c r="D32" s="42" t="n"/>
      <c r="E32" s="43" t="n">
        <v>41</v>
      </c>
      <c r="F32" s="37">
        <f>IF(E32="","",E32*1000)</f>
        <v/>
      </c>
      <c r="G32" s="44" t="n">
        <v>36.7</v>
      </c>
      <c r="H32" s="56">
        <f>IF(I32&lt;&gt;"",I32,IF(G32="","",IF(ROUND(MOD(G32,1),1)&lt;=0.4,INT(G32)-1,INT(G32))))</f>
        <v/>
      </c>
      <c r="I32" s="56" t="n"/>
      <c r="J32" s="57">
        <f>IF(H32="","",IF(LOWER(A32)="gl",H32-2,IF(H32&gt;=60,H32-5,IF(AND(H32&gt;=50,H32&lt;60),H32-4,IF(AND(H32&gt;=10,H32&lt;50),H32-3,H32)))))</f>
        <v/>
      </c>
      <c r="K32" s="57" t="n"/>
      <c r="L32" s="51" t="n"/>
      <c r="M32" s="51" t="n"/>
    </row>
    <row r="33" ht="15" customHeight="1">
      <c r="A33" s="10" t="n"/>
      <c r="B33" s="10" t="n">
        <v>30</v>
      </c>
      <c r="C33" s="11" t="n"/>
      <c r="D33" s="11" t="inlineStr">
        <is>
          <t>H. HANAN</t>
        </is>
      </c>
      <c r="E33" s="19" t="n">
        <v>64</v>
      </c>
      <c r="F33" s="13">
        <f>IF(E33="","",E33*1000)</f>
        <v/>
      </c>
      <c r="G33" s="22" t="n">
        <v>45.1</v>
      </c>
      <c r="H33" s="56">
        <f>IF(I33&lt;&gt;"",I33,IF(G33="","",IF(ROUND(MOD(G33,1),1)&lt;=0.4,INT(G33)-1,INT(G33))))</f>
        <v/>
      </c>
      <c r="I33" s="56" t="n"/>
      <c r="J33" s="57">
        <f>IF(H33="","",IF(LOWER(A33)="gl",H33-2,IF(H33&gt;=60,H33-5,IF(AND(H33&gt;=50,H33&lt;60),H33-4,IF(AND(H33&gt;=10,H33&lt;50),H33-3,H33)))))</f>
        <v/>
      </c>
      <c r="K33" s="57" t="n"/>
    </row>
    <row r="34" ht="15" customHeight="1">
      <c r="A34" s="2" t="n"/>
      <c r="B34" s="2" t="n">
        <v>31</v>
      </c>
      <c r="C34" s="3" t="n"/>
      <c r="D34" s="3" t="inlineStr">
        <is>
          <t>(8/8/26)</t>
        </is>
      </c>
      <c r="E34" s="2" t="n">
        <v>64</v>
      </c>
      <c r="F34" s="5">
        <f>IF(E34="","",E34*1000)</f>
        <v/>
      </c>
      <c r="G34" s="23" t="n">
        <v>38.3</v>
      </c>
      <c r="H34" s="56">
        <f>IF(I34&lt;&gt;"",I34,IF(G34="","",IF(ROUND(MOD(G34,1),1)&lt;=0.4,INT(G34)-1,INT(G34))))</f>
        <v/>
      </c>
      <c r="I34" s="56" t="n"/>
      <c r="J34" s="57">
        <f>IF(H34="","",IF(LOWER(A34)="gl",H34-2,IF(H34&gt;=60,H34-5,IF(AND(H34&gt;=50,H34&lt;60),H34-4,IF(AND(H34&gt;=10,H34&lt;50),H34-3,H34)))))</f>
        <v/>
      </c>
      <c r="K34" s="57" t="n"/>
    </row>
    <row r="35" ht="15" customHeight="1">
      <c r="A35" s="2" t="n"/>
      <c r="B35" s="2" t="n">
        <v>32</v>
      </c>
      <c r="C35" s="3" t="inlineStr">
        <is>
          <t>GT</t>
        </is>
      </c>
      <c r="E35" s="2" t="n">
        <v>64</v>
      </c>
      <c r="F35" s="5">
        <f>IF(E35="","",E35*1000)</f>
        <v/>
      </c>
      <c r="G35" s="23" t="n">
        <v>47</v>
      </c>
      <c r="H35" s="56">
        <f>IF(I35&lt;&gt;"",I35,IF(G35="","",IF(ROUND(MOD(G35,1),1)&lt;=0.4,INT(G35)-1,INT(G35))))</f>
        <v/>
      </c>
      <c r="I35" s="56" t="n"/>
      <c r="J35" s="57">
        <f>IF(H35="","",IF(LOWER(A35)="gl",H35-2,IF(H35&gt;=60,H35-5,IF(AND(H35&gt;=50,H35&lt;60),H35-4,IF(AND(H35&gt;=10,H35&lt;50),H35-3,H35)))))</f>
        <v/>
      </c>
      <c r="K35" s="57" t="n"/>
    </row>
    <row r="36" ht="15" customHeight="1">
      <c r="A36" s="2" t="n"/>
      <c r="B36" s="2" t="n">
        <v>33</v>
      </c>
      <c r="C36" s="3" t="inlineStr">
        <is>
          <t>GT</t>
        </is>
      </c>
      <c r="E36" s="2" t="n">
        <v>60</v>
      </c>
      <c r="F36" s="5">
        <f>IF(E36="","",E36*1000)</f>
        <v/>
      </c>
      <c r="G36" s="23" t="n">
        <v>44.7</v>
      </c>
      <c r="H36" s="56">
        <f>IF(I36&lt;&gt;"",I36,IF(G36="","",IF(ROUND(MOD(G36,1),1)&lt;=0.4,INT(G36)-1,INT(G36))))</f>
        <v/>
      </c>
      <c r="I36" s="56" t="n"/>
      <c r="J36" s="57">
        <f>IF(H36="","",IF(LOWER(A36)="gl",H36-2,IF(H36&gt;=60,H36-5,IF(AND(H36&gt;=50,H36&lt;60),H36-4,IF(AND(H36&gt;=10,H36&lt;50),H36-3,H36)))))</f>
        <v/>
      </c>
      <c r="K36" s="57" t="n"/>
    </row>
    <row r="37" ht="15" customHeight="1">
      <c r="A37" s="2" t="n"/>
      <c r="B37" s="2" t="n">
        <v>34</v>
      </c>
      <c r="C37" s="3" t="inlineStr">
        <is>
          <t>GT</t>
        </is>
      </c>
      <c r="E37" s="2" t="n">
        <v>60</v>
      </c>
      <c r="F37" s="5">
        <f>IF(E37="","",E37*1000)</f>
        <v/>
      </c>
      <c r="G37" s="23" t="n">
        <v>44.8</v>
      </c>
      <c r="H37" s="56">
        <f>IF(I37&lt;&gt;"",I37,IF(G37="","",IF(ROUND(MOD(G37,1),1)&lt;=0.4,INT(G37)-1,INT(G37))))</f>
        <v/>
      </c>
      <c r="I37" s="56" t="n"/>
      <c r="J37" s="57">
        <f>IF(H37="","",IF(LOWER(A37)="gl",H37-2,IF(H37&gt;=60,H37-5,IF(AND(H37&gt;=50,H37&lt;60),H37-4,IF(AND(H37&gt;=10,H37&lt;50),H37-3,H37)))))</f>
        <v/>
      </c>
      <c r="K37" s="57" t="n"/>
    </row>
    <row r="38" ht="15" customHeight="1">
      <c r="A38" s="2" t="n"/>
      <c r="B38" s="2" t="n">
        <v>35</v>
      </c>
      <c r="C38" s="3" t="n"/>
      <c r="D38" s="3" t="n"/>
      <c r="E38" s="2" t="n">
        <v>61</v>
      </c>
      <c r="F38" s="5">
        <f>IF(E38="","",E38*1000)</f>
        <v/>
      </c>
      <c r="G38" s="23" t="n">
        <v>56.2</v>
      </c>
      <c r="H38" s="56">
        <f>IF(I38&lt;&gt;"",I38,IF(G38="","",IF(ROUND(MOD(G38,1),1)&lt;=0.4,INT(G38)-1,INT(G38))))</f>
        <v/>
      </c>
      <c r="I38" s="56" t="n"/>
      <c r="J38" s="57">
        <f>IF(H38="","",IF(LOWER(A38)="gl",H38-2,IF(H38&gt;=60,H38-5,IF(AND(H38&gt;=50,H38&lt;60),H38-4,IF(AND(H38&gt;=10,H38&lt;50),H38-3,H38)))))</f>
        <v/>
      </c>
      <c r="K38" s="57" t="n"/>
    </row>
    <row r="39" ht="15" customHeight="1">
      <c r="A39" s="2" t="n"/>
      <c r="B39" s="2" t="n">
        <v>36</v>
      </c>
      <c r="C39" s="3" t="n"/>
      <c r="D39" s="3" t="n"/>
      <c r="E39" s="2" t="n">
        <v>61</v>
      </c>
      <c r="F39" s="5">
        <f>IF(E39="","",E39*1000)</f>
        <v/>
      </c>
      <c r="G39" s="23" t="n">
        <v>52.7</v>
      </c>
      <c r="H39" s="56">
        <f>IF(I39&lt;&gt;"",I39,IF(G39="","",IF(ROUND(MOD(G39,1),1)&lt;=0.4,INT(G39)-1,INT(G39))))</f>
        <v/>
      </c>
      <c r="I39" s="56" t="n"/>
      <c r="J39" s="57">
        <f>IF(H39="","",IF(LOWER(A39)="gl",H39-2,IF(H39&gt;=60,H39-5,IF(AND(H39&gt;=50,H39&lt;60),H39-4,IF(AND(H39&gt;=10,H39&lt;50),H39-3,H39)))))</f>
        <v/>
      </c>
      <c r="K39" s="57" t="n"/>
    </row>
    <row r="40" ht="15" customHeight="1">
      <c r="A40" s="2" t="n"/>
      <c r="B40" s="2" t="n">
        <v>37</v>
      </c>
      <c r="C40" s="3" t="n"/>
      <c r="D40" s="3" t="n"/>
      <c r="E40" s="2" t="n">
        <v>61</v>
      </c>
      <c r="F40" s="5">
        <f>IF(E40="","",E40*1000)</f>
        <v/>
      </c>
      <c r="G40" s="23" t="n">
        <v>52.6</v>
      </c>
      <c r="H40" s="56">
        <f>IF(I40&lt;&gt;"",I40,IF(G40="","",IF(ROUND(MOD(G40,1),1)&lt;=0.4,INT(G40)-1,INT(G40))))</f>
        <v/>
      </c>
      <c r="I40" s="56" t="n"/>
      <c r="J40" s="57">
        <f>IF(H40="","",IF(LOWER(A40)="gl",H40-2,IF(H40&gt;=60,H40-5,IF(AND(H40&gt;=50,H40&lt;60),H40-4,IF(AND(H40&gt;=10,H40&lt;50),H40-3,H40)))))</f>
        <v/>
      </c>
      <c r="K40" s="57" t="n"/>
    </row>
    <row r="41" ht="15" customHeight="1">
      <c r="A41" s="2" t="n"/>
      <c r="B41" s="2" t="n">
        <v>38</v>
      </c>
      <c r="C41" s="3" t="n"/>
      <c r="D41" s="3" t="n"/>
      <c r="E41" s="2" t="n">
        <v>61</v>
      </c>
      <c r="F41" s="5">
        <f>IF(E41="","",E41*1000)</f>
        <v/>
      </c>
      <c r="G41" s="23" t="n">
        <v>54.9</v>
      </c>
      <c r="H41" s="56">
        <f>IF(I41&lt;&gt;"",I41,IF(G41="","",IF(ROUND(MOD(G41,1),1)&lt;=0.4,INT(G41)-1,INT(G41))))</f>
        <v/>
      </c>
      <c r="I41" s="56" t="n"/>
      <c r="J41" s="57">
        <f>IF(H41="","",IF(LOWER(A41)="gl",H41-2,IF(H41&gt;=60,H41-5,IF(AND(H41&gt;=50,H41&lt;60),H41-4,IF(AND(H41&gt;=10,H41&lt;50),H41-3,H41)))))</f>
        <v/>
      </c>
      <c r="K41" s="57" t="n"/>
    </row>
    <row r="42" ht="15" customHeight="1">
      <c r="A42" s="2" t="n"/>
      <c r="B42" s="2" t="n">
        <v>39</v>
      </c>
      <c r="C42" s="3" t="n"/>
      <c r="D42" s="3" t="n"/>
      <c r="E42" s="2" t="n">
        <v>61</v>
      </c>
      <c r="F42" s="5">
        <f>IF(E42="","",E42*1000)</f>
        <v/>
      </c>
      <c r="G42" s="23" t="n">
        <v>55.5</v>
      </c>
      <c r="H42" s="56">
        <f>IF(I42&lt;&gt;"",I42,IF(G42="","",IF(ROUND(MOD(G42,1),1)&lt;=0.4,INT(G42)-1,INT(G42))))</f>
        <v/>
      </c>
      <c r="I42" s="56" t="n"/>
      <c r="J42" s="57">
        <f>IF(H42="","",IF(LOWER(A42)="gl",H42-2,IF(H42&gt;=60,H42-5,IF(AND(H42&gt;=50,H42&lt;60),H42-4,IF(AND(H42&gt;=10,H42&lt;50),H42-3,H42)))))</f>
        <v/>
      </c>
      <c r="K42" s="57" t="n"/>
    </row>
    <row r="43" ht="15" customHeight="1">
      <c r="A43" s="2" t="n"/>
      <c r="B43" s="2" t="n">
        <v>40</v>
      </c>
      <c r="C43" s="3" t="n"/>
      <c r="D43" s="3" t="n"/>
      <c r="E43" s="2" t="n">
        <v>61</v>
      </c>
      <c r="F43" s="5">
        <f>IF(E43="","",E43*1000)</f>
        <v/>
      </c>
      <c r="G43" s="23" t="n">
        <v>58.7</v>
      </c>
      <c r="H43" s="56">
        <f>IF(I43&lt;&gt;"",I43,IF(G43="","",IF(ROUND(MOD(G43,1),1)&lt;=0.4,INT(G43)-1,INT(G43))))</f>
        <v/>
      </c>
      <c r="I43" s="56" t="n"/>
      <c r="J43" s="57">
        <f>IF(H43="","",IF(LOWER(A43)="gl",H43-2,IF(H43&gt;=60,H43-5,IF(AND(H43&gt;=50,H43&lt;60),H43-4,IF(AND(H43&gt;=10,H43&lt;50),H43-3,H43)))))</f>
        <v/>
      </c>
      <c r="K43" s="57" t="n"/>
    </row>
    <row r="44" ht="15" customHeight="1">
      <c r="A44" s="2" t="n"/>
      <c r="B44" s="2" t="n">
        <v>41</v>
      </c>
      <c r="C44" s="3" t="n"/>
      <c r="D44" s="3" t="n"/>
      <c r="E44" s="2" t="n">
        <v>53</v>
      </c>
      <c r="F44" s="5">
        <f>IF(E44="","",E44*1000)</f>
        <v/>
      </c>
      <c r="G44" s="23" t="n">
        <v>47.4</v>
      </c>
      <c r="H44" s="56">
        <f>IF(I44&lt;&gt;"",I44,IF(G44="","",IF(ROUND(MOD(G44,1),1)&lt;=0.4,INT(G44)-1,INT(G44))))</f>
        <v/>
      </c>
      <c r="I44" s="56" t="n"/>
      <c r="J44" s="57">
        <f>IF(H44="","",IF(LOWER(A44)="gl",H44-2,IF(H44&gt;=60,H44-5,IF(AND(H44&gt;=50,H44&lt;60),H44-4,IF(AND(H44&gt;=10,H44&lt;50),H44-3,H44)))))</f>
        <v/>
      </c>
      <c r="K44" s="57" t="n"/>
    </row>
    <row r="45" ht="15" customHeight="1">
      <c r="A45" s="2" t="n"/>
      <c r="B45" s="2" t="n">
        <v>42</v>
      </c>
      <c r="C45" s="3" t="inlineStr">
        <is>
          <t>GT</t>
        </is>
      </c>
      <c r="E45" s="2" t="n">
        <v>53</v>
      </c>
      <c r="F45" s="5">
        <f>IF(E45="","",E45*1000)</f>
        <v/>
      </c>
      <c r="G45" s="23" t="n">
        <v>49.7</v>
      </c>
      <c r="H45" s="56">
        <f>IF(I45&lt;&gt;"",I45,IF(G45="","",IF(ROUND(MOD(G45,1),1)&lt;=0.4,INT(G45)-1,INT(G45))))</f>
        <v/>
      </c>
      <c r="I45" s="56" t="n"/>
      <c r="J45" s="57">
        <f>IF(H45="","",IF(LOWER(A45)="gl",H45-2,IF(H45&gt;=60,H45-5,IF(AND(H45&gt;=50,H45&lt;60),H45-4,IF(AND(H45&gt;=10,H45&lt;50),H45-3,H45)))))</f>
        <v/>
      </c>
      <c r="K45" s="57" t="n"/>
    </row>
    <row r="46" ht="15" customHeight="1">
      <c r="A46" s="2" t="n"/>
      <c r="B46" s="2" t="n">
        <v>43</v>
      </c>
      <c r="C46" s="3" t="n"/>
      <c r="D46" s="3" t="n"/>
      <c r="E46" s="2" t="n">
        <v>53</v>
      </c>
      <c r="F46" s="5">
        <f>IF(E46="","",E46*1000)</f>
        <v/>
      </c>
      <c r="G46" s="23" t="n">
        <v>44.7</v>
      </c>
      <c r="H46" s="56">
        <f>IF(I46&lt;&gt;"",I46,IF(G46="","",IF(ROUND(MOD(G46,1),1)&lt;=0.4,INT(G46)-1,INT(G46))))</f>
        <v/>
      </c>
      <c r="I46" s="56" t="n"/>
      <c r="J46" s="57">
        <f>IF(H46="","",IF(LOWER(A46)="gl",H46-2,IF(H46&gt;=60,H46-5,IF(AND(H46&gt;=50,H46&lt;60),H46-4,IF(AND(H46&gt;=10,H46&lt;50),H46-3,H46)))))</f>
        <v/>
      </c>
      <c r="K46" s="57" t="n"/>
    </row>
    <row r="47" ht="15" customHeight="1">
      <c r="A47" s="2" t="n"/>
      <c r="B47" s="2" t="n">
        <v>44</v>
      </c>
      <c r="C47" s="3" t="inlineStr">
        <is>
          <t>GT</t>
        </is>
      </c>
      <c r="E47" s="2" t="n">
        <v>46</v>
      </c>
      <c r="F47" s="5">
        <f>IF(E47="","",E47*1000)</f>
        <v/>
      </c>
      <c r="G47" s="23" t="n">
        <v>42.2</v>
      </c>
      <c r="H47" s="56">
        <f>IF(I47&lt;&gt;"",I47,IF(G47="","",IF(ROUND(MOD(G47,1),1)&lt;=0.4,INT(G47)-1,INT(G47))))</f>
        <v/>
      </c>
      <c r="I47" s="56" t="n"/>
      <c r="J47" s="57">
        <f>IF(H47="","",IF(LOWER(A47)="gl",H47-2,IF(H47&gt;=60,H47-5,IF(AND(H47&gt;=50,H47&lt;60),H47-4,IF(AND(H47&gt;=10,H47&lt;50),H47-3,H47)))))</f>
        <v/>
      </c>
      <c r="K47" s="57" t="n"/>
    </row>
    <row r="48" ht="15" customHeight="1">
      <c r="A48" s="2" t="n"/>
      <c r="B48" s="2" t="n">
        <v>45</v>
      </c>
      <c r="C48" s="3" t="n"/>
      <c r="D48" s="25" t="inlineStr">
        <is>
          <t>J</t>
        </is>
      </c>
      <c r="E48" s="2" t="n">
        <v>47</v>
      </c>
      <c r="F48" s="5">
        <f>IF(E48="","",E48*1000)</f>
        <v/>
      </c>
      <c r="G48" s="23" t="n">
        <v>33</v>
      </c>
      <c r="H48" s="56">
        <f>IF(I48&lt;&gt;"",I48,IF(G48="","",IF(ROUND(MOD(G48,1),1)&lt;=0.4,INT(G48)-1,INT(G48))))</f>
        <v/>
      </c>
      <c r="I48" s="56" t="n"/>
      <c r="J48" s="57">
        <f>IF(H48="","",IF(LOWER(A48)="gl",H48-2,IF(H48&gt;=60,H48-5,IF(AND(H48&gt;=50,H48&lt;60),H48-4,IF(AND(H48&gt;=10,H48&lt;50),H48-3,H48)))))</f>
        <v/>
      </c>
      <c r="K48" s="57" t="n"/>
    </row>
    <row r="49" ht="15" customHeight="1">
      <c r="A49" s="2" t="n"/>
      <c r="B49" s="2" t="n">
        <v>46</v>
      </c>
      <c r="C49" s="3" t="n"/>
      <c r="D49" s="25" t="inlineStr">
        <is>
          <t>J</t>
        </is>
      </c>
      <c r="E49" s="2" t="n">
        <v>47</v>
      </c>
      <c r="F49" s="5">
        <f>IF(E49="","",E49*1000)</f>
        <v/>
      </c>
      <c r="G49" s="23" t="n">
        <v>48</v>
      </c>
      <c r="H49" s="56">
        <f>IF(I49&lt;&gt;"",I49,IF(G49="","",IF(ROUND(MOD(G49,1),1)&lt;=0.4,INT(G49)-1,INT(G49))))</f>
        <v/>
      </c>
      <c r="I49" s="56" t="n"/>
      <c r="J49" s="57">
        <f>IF(H49="","",IF(LOWER(A49)="gl",H49-2,IF(H49&gt;=60,H49-5,IF(AND(H49&gt;=50,H49&lt;60),H49-4,IF(AND(H49&gt;=10,H49&lt;50),H49-3,H49)))))</f>
        <v/>
      </c>
      <c r="K49" s="57" t="n"/>
    </row>
    <row r="50" ht="15" customHeight="1">
      <c r="A50" s="2" t="n"/>
      <c r="B50" s="2" t="n">
        <v>47</v>
      </c>
      <c r="C50" s="3" t="n"/>
      <c r="D50" s="25" t="inlineStr">
        <is>
          <t>J</t>
        </is>
      </c>
      <c r="E50" s="2" t="n">
        <v>55</v>
      </c>
      <c r="F50" s="5">
        <f>IF(E50="","",E50*1000)</f>
        <v/>
      </c>
      <c r="G50" s="23" t="n">
        <v>50</v>
      </c>
      <c r="H50" s="56">
        <f>IF(I50&lt;&gt;"",I50,IF(G50="","",IF(ROUND(MOD(G50,1),1)&lt;=0.4,INT(G50)-1,INT(G50))))</f>
        <v/>
      </c>
      <c r="I50" s="56" t="n"/>
      <c r="J50" s="57">
        <f>IF(H50="","",IF(LOWER(A50)="gl",H50-2,IF(H50&gt;=60,H50-5,IF(AND(H50&gt;=50,H50&lt;60),H50-4,IF(AND(H50&gt;=10,H50&lt;50),H50-3,H50)))))</f>
        <v/>
      </c>
      <c r="K50" s="57" t="n"/>
    </row>
    <row r="51" ht="15" customHeight="1">
      <c r="A51" s="2" t="n"/>
      <c r="B51" s="2" t="n">
        <v>48</v>
      </c>
      <c r="C51" s="3" t="n"/>
      <c r="D51" s="25" t="inlineStr">
        <is>
          <t>J</t>
        </is>
      </c>
      <c r="E51" s="2" t="n">
        <v>55</v>
      </c>
      <c r="F51" s="5">
        <f>IF(E51="","",E51*1000)</f>
        <v/>
      </c>
      <c r="G51" s="23" t="n">
        <v>50</v>
      </c>
      <c r="H51" s="56">
        <f>IF(I51&lt;&gt;"",I51,IF(G51="","",IF(ROUND(MOD(G51,1),1)&lt;=0.4,INT(G51)-1,INT(G51))))</f>
        <v/>
      </c>
      <c r="I51" s="56" t="n"/>
      <c r="J51" s="57">
        <f>IF(H51="","",IF(LOWER(A51)="gl",H51-2,IF(H51&gt;=60,H51-5,IF(AND(H51&gt;=50,H51&lt;60),H51-4,IF(AND(H51&gt;=10,H51&lt;50),H51-3,H51)))))</f>
        <v/>
      </c>
      <c r="K51" s="57" t="n"/>
    </row>
    <row r="52" ht="15" customHeight="1">
      <c r="A52" s="2" t="n"/>
      <c r="B52" s="2" t="n">
        <v>49</v>
      </c>
      <c r="C52" s="3" t="n"/>
      <c r="D52" s="25" t="inlineStr">
        <is>
          <t>J</t>
        </is>
      </c>
      <c r="E52" s="2" t="n">
        <v>50</v>
      </c>
      <c r="F52" s="5">
        <f>IF(E52="","",E52*1000)</f>
        <v/>
      </c>
      <c r="G52" s="23" t="n">
        <v>50</v>
      </c>
      <c r="H52" s="56">
        <f>IF(I52&lt;&gt;"",I52,IF(G52="","",IF(ROUND(MOD(G52,1),1)&lt;=0.4,INT(G52)-1,INT(G52))))</f>
        <v/>
      </c>
      <c r="I52" s="56" t="n"/>
      <c r="J52" s="57">
        <f>IF(H52="","",IF(LOWER(A52)="gl",H52-2,IF(H52&gt;=60,H52-5,IF(AND(H52&gt;=50,H52&lt;60),H52-4,IF(AND(H52&gt;=10,H52&lt;50),H52-3,H52)))))</f>
        <v/>
      </c>
      <c r="K52" s="57" t="n"/>
    </row>
    <row r="53" ht="15" customHeight="1">
      <c r="A53" s="2" t="n"/>
      <c r="B53" s="2" t="n">
        <v>50</v>
      </c>
      <c r="C53" s="3" t="n"/>
      <c r="D53" s="25" t="inlineStr">
        <is>
          <t>J</t>
        </is>
      </c>
      <c r="E53" s="2" t="n">
        <v>50</v>
      </c>
      <c r="F53" s="5">
        <f>IF(E53="","",E53*1000)</f>
        <v/>
      </c>
      <c r="G53" s="23" t="n">
        <v>47.1</v>
      </c>
      <c r="H53" s="56">
        <f>IF(I53&lt;&gt;"",I53,IF(G53="","",IF(ROUND(MOD(G53,1),1)&lt;=0.4,INT(G53)-1,INT(G53))))</f>
        <v/>
      </c>
      <c r="I53" s="56" t="n"/>
      <c r="J53" s="57">
        <f>IF(H53="","",IF(LOWER(A53)="gl",H53-2,IF(H53&gt;=60,H53-5,IF(AND(H53&gt;=50,H53&lt;60),H53-4,IF(AND(H53&gt;=10,H53&lt;50),H53-3,H53)))))</f>
        <v/>
      </c>
      <c r="K53" s="57" t="n"/>
    </row>
    <row r="54" ht="15" customHeight="1">
      <c r="A54" s="2" t="n"/>
      <c r="B54" s="2" t="n">
        <v>51</v>
      </c>
      <c r="C54" s="3" t="n"/>
      <c r="D54" s="25" t="inlineStr">
        <is>
          <t>J</t>
        </is>
      </c>
      <c r="E54" s="2" t="n">
        <v>57</v>
      </c>
      <c r="F54" s="5">
        <f>IF(E54="","",E54*1000)</f>
        <v/>
      </c>
      <c r="G54" s="23" t="n">
        <v>40</v>
      </c>
      <c r="H54" s="56">
        <f>IF(I54&lt;&gt;"",I54,IF(G54="","",IF(ROUND(MOD(G54,1),1)&lt;=0.4,INT(G54)-1,INT(G54))))</f>
        <v/>
      </c>
      <c r="I54" s="56" t="n"/>
      <c r="J54" s="57">
        <f>IF(H54="","",IF(LOWER(A54)="gl",H54-2,IF(H54&gt;=60,H54-5,IF(AND(H54&gt;=50,H54&lt;60),H54-4,IF(AND(H54&gt;=10,H54&lt;50),H54-3,H54)))))</f>
        <v/>
      </c>
      <c r="K54" s="57" t="n"/>
    </row>
    <row r="55" ht="15" customHeight="1">
      <c r="A55" s="2" t="n"/>
      <c r="B55" s="2" t="n">
        <v>52</v>
      </c>
      <c r="C55" s="3" t="n"/>
      <c r="D55" s="25" t="inlineStr">
        <is>
          <t>J</t>
        </is>
      </c>
      <c r="E55" s="2" t="n">
        <v>57</v>
      </c>
      <c r="F55" s="5">
        <f>IF(E55="","",E55*1000)</f>
        <v/>
      </c>
      <c r="G55" s="23" t="n">
        <v>40.6</v>
      </c>
      <c r="H55" s="56">
        <f>IF(I55&lt;&gt;"",I55,IF(G55="","",IF(ROUND(MOD(G55,1),1)&lt;=0.4,INT(G55)-1,INT(G55))))</f>
        <v/>
      </c>
      <c r="I55" s="56" t="n"/>
      <c r="J55" s="57">
        <f>IF(H55="","",IF(LOWER(A55)="gl",H55-2,IF(H55&gt;=60,H55-5,IF(AND(H55&gt;=50,H55&lt;60),H55-4,IF(AND(H55&gt;=10,H55&lt;50),H55-3,H55)))))</f>
        <v/>
      </c>
      <c r="K55" s="57" t="n"/>
    </row>
    <row r="56" ht="15" customHeight="1">
      <c r="A56" s="2" t="n"/>
      <c r="B56" s="2" t="n">
        <v>53</v>
      </c>
      <c r="C56" s="3" t="n"/>
      <c r="D56" s="25" t="inlineStr">
        <is>
          <t>J</t>
        </is>
      </c>
      <c r="E56" s="2" t="n">
        <v>52</v>
      </c>
      <c r="F56" s="5">
        <f>IF(E56="","",E56*1000)</f>
        <v/>
      </c>
      <c r="G56" s="23" t="n">
        <v>31.5</v>
      </c>
      <c r="H56" s="56">
        <f>IF(I56&lt;&gt;"",I56,IF(G56="","",IF(ROUND(MOD(G56,1),1)&lt;=0.4,INT(G56)-1,INT(G56))))</f>
        <v/>
      </c>
      <c r="I56" s="56" t="n"/>
      <c r="J56" s="57">
        <f>IF(H56="","",IF(LOWER(A56)="gl",H56-2,IF(H56&gt;=60,H56-5,IF(AND(H56&gt;=50,H56&lt;60),H56-4,IF(AND(H56&gt;=10,H56&lt;50),H56-3,H56)))))</f>
        <v/>
      </c>
      <c r="K56" s="57" t="n"/>
    </row>
    <row r="57" ht="15" customHeight="1">
      <c r="A57" s="2" t="n"/>
      <c r="B57" s="2" t="n">
        <v>54</v>
      </c>
      <c r="C57" s="3" t="n"/>
      <c r="D57" s="25" t="inlineStr">
        <is>
          <t>J</t>
        </is>
      </c>
      <c r="E57" s="2" t="n">
        <v>53</v>
      </c>
      <c r="F57" s="5">
        <f>IF(E57="","",E57*1000)</f>
        <v/>
      </c>
      <c r="G57" s="23" t="n">
        <v>35.8</v>
      </c>
      <c r="H57" s="56">
        <f>IF(I57&lt;&gt;"",I57,IF(G57="","",IF(ROUND(MOD(G57,1),1)&lt;=0.4,INT(G57)-1,INT(G57))))</f>
        <v/>
      </c>
      <c r="I57" s="56" t="n"/>
      <c r="J57" s="57">
        <f>IF(H57="","",IF(LOWER(A57)="gl",H57-2,IF(H57&gt;=60,H57-5,IF(AND(H57&gt;=50,H57&lt;60),H57-4,IF(AND(H57&gt;=10,H57&lt;50),H57-3,H57)))))</f>
        <v/>
      </c>
      <c r="K57" s="57" t="n"/>
    </row>
    <row r="58" ht="15" customHeight="1">
      <c r="A58" s="2" t="n"/>
      <c r="B58" s="2" t="n">
        <v>55</v>
      </c>
      <c r="C58" s="3" t="n"/>
      <c r="D58" s="25" t="inlineStr">
        <is>
          <t>J</t>
        </is>
      </c>
      <c r="E58" s="2" t="n">
        <v>53</v>
      </c>
      <c r="F58" s="5">
        <f>IF(E58="","",E58*1000)</f>
        <v/>
      </c>
      <c r="G58" s="23" t="n">
        <v>32.5</v>
      </c>
      <c r="H58" s="56">
        <f>IF(I58&lt;&gt;"",I58,IF(G58="","",IF(ROUND(MOD(G58,1),1)&lt;=0.4,INT(G58)-1,INT(G58))))</f>
        <v/>
      </c>
      <c r="I58" s="56" t="n"/>
      <c r="J58" s="57">
        <f>IF(H58="","",IF(LOWER(A58)="gl",H58-2,IF(H58&gt;=60,H58-5,IF(AND(H58&gt;=50,H58&lt;60),H58-4,IF(AND(H58&gt;=10,H58&lt;50),H58-3,H58)))))</f>
        <v/>
      </c>
      <c r="K58" s="57" t="n"/>
    </row>
    <row r="59" ht="15" customHeight="1">
      <c r="A59" s="2" t="n"/>
      <c r="B59" s="2" t="n">
        <v>56</v>
      </c>
      <c r="C59" s="3" t="n"/>
      <c r="D59" s="25" t="inlineStr">
        <is>
          <t>J</t>
        </is>
      </c>
      <c r="E59" s="2" t="n">
        <v>42</v>
      </c>
      <c r="F59" s="5">
        <f>IF(E59="","",E59*1000)</f>
        <v/>
      </c>
      <c r="G59" s="23" t="n">
        <v>37</v>
      </c>
      <c r="H59" s="56">
        <f>IF(I59&lt;&gt;"",I59,IF(G59="","",IF(ROUND(MOD(G59,1),1)&lt;=0.4,INT(G59)-1,INT(G59))))</f>
        <v/>
      </c>
      <c r="I59" s="56" t="n"/>
      <c r="J59" s="57">
        <f>IF(H59="","",IF(LOWER(A59)="gl",H59-2,IF(H59&gt;=60,H59-5,IF(AND(H59&gt;=50,H59&lt;60),H59-4,IF(AND(H59&gt;=10,H59&lt;50),H59-3,H59)))))</f>
        <v/>
      </c>
      <c r="K59" s="57" t="n"/>
    </row>
    <row r="60" ht="15" customHeight="1">
      <c r="A60" s="2" t="n"/>
      <c r="B60" s="2" t="n">
        <v>57</v>
      </c>
      <c r="C60" s="3" t="n"/>
      <c r="D60" s="25" t="inlineStr">
        <is>
          <t>J</t>
        </is>
      </c>
      <c r="E60" s="2" t="n">
        <v>42</v>
      </c>
      <c r="F60" s="5">
        <f>IF(E60="","",E60*1000)</f>
        <v/>
      </c>
      <c r="G60" s="23" t="n">
        <v>51</v>
      </c>
      <c r="H60" s="56">
        <f>IF(I60&lt;&gt;"",I60,IF(G60="","",IF(ROUND(MOD(G60,1),1)&lt;=0.4,INT(G60)-1,INT(G60))))</f>
        <v/>
      </c>
      <c r="I60" s="56" t="n"/>
      <c r="J60" s="57">
        <f>IF(H60="","",IF(LOWER(A60)="gl",H60-2,IF(H60&gt;=60,H60-5,IF(AND(H60&gt;=50,H60&lt;60),H60-4,IF(AND(H60&gt;=10,H60&lt;50),H60-3,H60)))))</f>
        <v/>
      </c>
      <c r="K60" s="57" t="n"/>
    </row>
    <row r="61" ht="15" customHeight="1">
      <c r="A61" s="2" t="n"/>
      <c r="B61" s="2" t="n">
        <v>58</v>
      </c>
      <c r="C61" s="3" t="n"/>
      <c r="D61" s="25" t="inlineStr">
        <is>
          <t>J</t>
        </is>
      </c>
      <c r="E61" s="2" t="n">
        <v>43</v>
      </c>
      <c r="F61" s="5">
        <f>IF(E61="","",E61*1000)</f>
        <v/>
      </c>
      <c r="G61" s="23" t="n">
        <v>33</v>
      </c>
      <c r="H61" s="56">
        <f>IF(I61&lt;&gt;"",I61,IF(G61="","",IF(ROUND(MOD(G61,1),1)&lt;=0.4,INT(G61)-1,INT(G61))))</f>
        <v/>
      </c>
      <c r="I61" s="56" t="n"/>
      <c r="J61" s="57">
        <f>IF(H61="","",IF(LOWER(A61)="gl",H61-2,IF(H61&gt;=60,H61-5,IF(AND(H61&gt;=50,H61&lt;60),H61-4,IF(AND(H61&gt;=10,H61&lt;50),H61-3,H61)))))</f>
        <v/>
      </c>
      <c r="K61" s="57" t="n"/>
    </row>
    <row r="62" ht="15" customHeight="1">
      <c r="A62" s="2" t="n"/>
      <c r="B62" s="2" t="n">
        <v>59</v>
      </c>
      <c r="C62" s="3" t="n"/>
      <c r="D62" s="25" t="inlineStr">
        <is>
          <t>J</t>
        </is>
      </c>
      <c r="E62" s="2" t="n">
        <v>44</v>
      </c>
      <c r="F62" s="5">
        <f>IF(E62="","",E62*1000)</f>
        <v/>
      </c>
      <c r="G62" s="23" t="n">
        <v>31</v>
      </c>
      <c r="H62" s="56">
        <f>IF(I62&lt;&gt;"",I62,IF(G62="","",IF(ROUND(MOD(G62,1),1)&lt;=0.4,INT(G62)-1,INT(G62))))</f>
        <v/>
      </c>
      <c r="I62" s="56" t="n"/>
      <c r="J62" s="57">
        <f>IF(H62="","",IF(LOWER(A62)="gl",H62-2,IF(H62&gt;=60,H62-5,IF(AND(H62&gt;=50,H62&lt;60),H62-4,IF(AND(H62&gt;=10,H62&lt;50),H62-3,H62)))))</f>
        <v/>
      </c>
      <c r="K62" s="57" t="n"/>
    </row>
    <row r="63" ht="15" customHeight="1" thickBot="1">
      <c r="A63" s="35" t="n"/>
      <c r="B63" s="35" t="n">
        <v>60</v>
      </c>
      <c r="C63" s="36" t="n"/>
      <c r="D63" s="41" t="inlineStr">
        <is>
          <t>J</t>
        </is>
      </c>
      <c r="E63" s="35" t="n">
        <v>46</v>
      </c>
      <c r="F63" s="37">
        <f>IF(E63="","",E63*1000)</f>
        <v/>
      </c>
      <c r="G63" s="34" t="n">
        <v>31.1</v>
      </c>
      <c r="H63" s="56">
        <f>IF(I63&lt;&gt;"",I63,IF(G63="","",IF(ROUND(MOD(G63,1),1)&lt;=0.4,INT(G63)-1,INT(G63))))</f>
        <v/>
      </c>
      <c r="I63" s="56" t="n"/>
      <c r="J63" s="57">
        <f>IF(H63="","",IF(LOWER(A63)="gl",H63-2,IF(H63&gt;=60,H63-5,IF(AND(H63&gt;=50,H63&lt;60),H63-4,IF(AND(H63&gt;=10,H63&lt;50),H63-3,H63)))))</f>
        <v/>
      </c>
      <c r="K63" s="57" t="n"/>
    </row>
    <row r="64" ht="15" customHeight="1">
      <c r="A64" s="10" t="n"/>
      <c r="B64" s="10" t="n">
        <v>61</v>
      </c>
      <c r="C64" s="11" t="n"/>
      <c r="D64" s="40" t="inlineStr">
        <is>
          <t>H.HANAN</t>
        </is>
      </c>
      <c r="E64" s="10" t="n">
        <v>46</v>
      </c>
      <c r="F64" s="13">
        <f>IF(E64="","",E64*1000)</f>
        <v/>
      </c>
      <c r="G64" s="27" t="n">
        <v>41.3</v>
      </c>
      <c r="H64" s="56">
        <f>IF(I64&lt;&gt;"",I64,IF(G64="","",IF(ROUND(MOD(G64,1),1)&lt;=0.4,INT(G64)-1,INT(G64))))</f>
        <v/>
      </c>
      <c r="I64" s="56" t="n"/>
      <c r="J64" s="57">
        <f>IF(H64="","",IF(LOWER(A64)="gl",H64-2,IF(H64&gt;=60,H64-5,IF(AND(H64&gt;=50,H64&lt;60),H64-4,IF(AND(H64&gt;=10,H64&lt;50),H64-3,H64)))))</f>
        <v/>
      </c>
      <c r="K64" s="57" t="n"/>
    </row>
    <row r="65" ht="15" customHeight="1">
      <c r="A65" s="2" t="n"/>
      <c r="B65" s="2" t="n">
        <v>62</v>
      </c>
      <c r="C65" s="3" t="n"/>
      <c r="D65" s="62" t="inlineStr">
        <is>
          <t>(8/8/26)</t>
        </is>
      </c>
      <c r="E65" s="2" t="n">
        <v>50</v>
      </c>
      <c r="F65" s="5">
        <f>IF(E65="","",E65*1000)</f>
        <v/>
      </c>
      <c r="G65" s="23" t="n">
        <v>50</v>
      </c>
      <c r="H65" s="56">
        <f>IF(I65&lt;&gt;"",I65,IF(G65="","",IF(ROUND(MOD(G65,1),1)&lt;=0.4,INT(G65)-1,INT(G65))))</f>
        <v/>
      </c>
      <c r="I65" s="56" t="n"/>
      <c r="J65" s="57">
        <f>IF(H65="","",IF(LOWER(A65)="gl",H65-2,IF(H65&gt;=60,H65-5,IF(AND(H65&gt;=50,H65&lt;60),H65-4,IF(AND(H65&gt;=10,H65&lt;50),H65-3,H65)))))</f>
        <v/>
      </c>
      <c r="K65" s="57" t="n"/>
    </row>
    <row r="66" ht="15" customHeight="1">
      <c r="A66" s="2" t="n"/>
      <c r="B66" s="2" t="n">
        <v>63</v>
      </c>
      <c r="C66" s="3" t="n"/>
      <c r="D66" s="25" t="inlineStr">
        <is>
          <t>Panggeremman</t>
        </is>
      </c>
      <c r="E66" s="2" t="n">
        <v>50</v>
      </c>
      <c r="F66" s="5">
        <f>IF(E66="","",E66*1000)</f>
        <v/>
      </c>
      <c r="G66" s="23" t="n">
        <v>50</v>
      </c>
      <c r="H66" s="56">
        <f>IF(I66&lt;&gt;"",I66,IF(G66="","",IF(ROUND(MOD(G66,1),1)&lt;=0.4,INT(G66)-1,INT(G66))))</f>
        <v/>
      </c>
      <c r="I66" s="56" t="n"/>
      <c r="J66" s="57">
        <f>IF(H66="","",IF(LOWER(A66)="gl",H66-2,IF(H66&gt;=60,H66-5,IF(AND(H66&gt;=50,H66&lt;60),H66-4,IF(AND(H66&gt;=10,H66&lt;50),H66-3,H66)))))</f>
        <v/>
      </c>
      <c r="K66" s="57" t="n"/>
    </row>
    <row r="67" ht="15" customHeight="1">
      <c r="A67" s="2" t="n"/>
      <c r="B67" s="2" t="n">
        <v>64</v>
      </c>
      <c r="C67" s="3" t="n"/>
      <c r="D67" s="25" t="inlineStr">
        <is>
          <t>J</t>
        </is>
      </c>
      <c r="E67" s="2" t="n">
        <v>50</v>
      </c>
      <c r="F67" s="5">
        <f>IF(E67="","",E67*1000)</f>
        <v/>
      </c>
      <c r="G67" s="23" t="n">
        <v>50</v>
      </c>
      <c r="H67" s="56">
        <f>IF(I67&lt;&gt;"",I67,IF(G67="","",IF(ROUND(MOD(G67,1),1)&lt;=0.4,INT(G67)-1,INT(G67))))</f>
        <v/>
      </c>
      <c r="I67" s="56" t="n"/>
      <c r="J67" s="57">
        <f>IF(H67="","",IF(LOWER(A67)="gl",H67-2,IF(H67&gt;=60,H67-5,IF(AND(H67&gt;=50,H67&lt;60),H67-4,IF(AND(H67&gt;=10,H67&lt;50),H67-3,H67)))))</f>
        <v/>
      </c>
      <c r="K67" s="57" t="n"/>
    </row>
    <row r="68" ht="15" customHeight="1">
      <c r="A68" s="2" t="n"/>
      <c r="B68" s="2" t="n">
        <v>65</v>
      </c>
      <c r="C68" s="3" t="n"/>
      <c r="D68" s="25" t="inlineStr">
        <is>
          <t>J</t>
        </is>
      </c>
      <c r="E68" s="2" t="n">
        <v>48</v>
      </c>
      <c r="F68" s="5">
        <f>IF(E68="","",E68*1000)</f>
        <v/>
      </c>
      <c r="G68" s="23" t="n">
        <v>50</v>
      </c>
      <c r="H68" s="56">
        <f>IF(I68&lt;&gt;"",I68,IF(G68="","",IF(ROUND(MOD(G68,1),1)&lt;=0.4,INT(G68)-1,INT(G68))))</f>
        <v/>
      </c>
      <c r="I68" s="56" t="n"/>
      <c r="J68" s="57">
        <f>IF(H68="","",IF(LOWER(A68)="gl",H68-2,IF(H68&gt;=60,H68-5,IF(AND(H68&gt;=50,H68&lt;60),H68-4,IF(AND(H68&gt;=10,H68&lt;50),H68-3,H68)))))</f>
        <v/>
      </c>
      <c r="K68" s="57" t="n"/>
    </row>
    <row r="69" ht="15" customHeight="1">
      <c r="A69" s="2" t="n"/>
      <c r="B69" s="2" t="n">
        <v>66</v>
      </c>
      <c r="C69" s="3" t="n"/>
      <c r="D69" s="25" t="inlineStr">
        <is>
          <t>J</t>
        </is>
      </c>
      <c r="E69" s="2" t="n">
        <v>45</v>
      </c>
      <c r="F69" s="5">
        <f>IF(E69="","",E69*1000)</f>
        <v/>
      </c>
      <c r="G69" s="23" t="n">
        <v>40.8</v>
      </c>
      <c r="H69" s="56">
        <f>IF(I69&lt;&gt;"",I69,IF(G69="","",IF(ROUND(MOD(G69,1),1)&lt;=0.4,INT(G69)-1,INT(G69))))</f>
        <v/>
      </c>
      <c r="I69" s="56" t="n"/>
      <c r="J69" s="57">
        <f>IF(H69="","",IF(LOWER(A69)="gl",H69-2,IF(H69&gt;=60,H69-5,IF(AND(H69&gt;=50,H69&lt;60),H69-4,IF(AND(H69&gt;=10,H69&lt;50),H69-3,H69)))))</f>
        <v/>
      </c>
      <c r="K69" s="57" t="n"/>
    </row>
    <row r="70" ht="15" customHeight="1">
      <c r="A70" s="2" t="n"/>
      <c r="B70" s="2" t="n">
        <v>67</v>
      </c>
      <c r="C70" s="3" t="n"/>
      <c r="D70" s="25" t="inlineStr">
        <is>
          <t>J</t>
        </is>
      </c>
      <c r="E70" s="2" t="n">
        <v>45</v>
      </c>
      <c r="F70" s="5">
        <f>IF(E70="","",E70*1000)</f>
        <v/>
      </c>
      <c r="G70" s="23" t="n">
        <v>39</v>
      </c>
      <c r="H70" s="56">
        <f>IF(I70&lt;&gt;"",I70,IF(G70="","",IF(ROUND(MOD(G70,1),1)&lt;=0.4,INT(G70)-1,INT(G70))))</f>
        <v/>
      </c>
      <c r="I70" s="56" t="n"/>
      <c r="J70" s="57">
        <f>IF(H70="","",IF(LOWER(A70)="gl",H70-2,IF(H70&gt;=60,H70-5,IF(AND(H70&gt;=50,H70&lt;60),H70-4,IF(AND(H70&gt;=10,H70&lt;50),H70-3,H70)))))</f>
        <v/>
      </c>
      <c r="K70" s="57" t="n"/>
    </row>
    <row r="71" ht="15" customHeight="1">
      <c r="A71" s="2" t="n"/>
      <c r="B71" s="2" t="n">
        <v>68</v>
      </c>
      <c r="C71" s="3" t="n"/>
      <c r="D71" s="25" t="inlineStr">
        <is>
          <t>J</t>
        </is>
      </c>
      <c r="E71" s="2" t="n">
        <v>45</v>
      </c>
      <c r="F71" s="5">
        <f>IF(E71="","",E71*1000)</f>
        <v/>
      </c>
      <c r="G71" s="23" t="n">
        <v>41</v>
      </c>
      <c r="H71" s="56">
        <f>IF(I71&lt;&gt;"",I71,IF(G71="","",IF(ROUND(MOD(G71,1),1)&lt;=0.4,INT(G71)-1,INT(G71))))</f>
        <v/>
      </c>
      <c r="I71" s="56" t="n"/>
      <c r="J71" s="57">
        <f>IF(H71="","",IF(LOWER(A71)="gl",H71-2,IF(H71&gt;=60,H71-5,IF(AND(H71&gt;=50,H71&lt;60),H71-4,IF(AND(H71&gt;=10,H71&lt;50),H71-3,H71)))))</f>
        <v/>
      </c>
      <c r="K71" s="57" t="n"/>
    </row>
    <row r="72" ht="15" customHeight="1">
      <c r="A72" s="2" t="n"/>
      <c r="B72" s="2" t="n">
        <v>69</v>
      </c>
      <c r="C72" s="3" t="n"/>
      <c r="D72" s="25" t="inlineStr">
        <is>
          <t>J</t>
        </is>
      </c>
      <c r="E72" s="2" t="n">
        <v>45</v>
      </c>
      <c r="F72" s="5">
        <f>IF(E72="","",E72*1000)</f>
        <v/>
      </c>
      <c r="G72" s="23" t="n">
        <v>42.2</v>
      </c>
      <c r="H72" s="56">
        <f>IF(I72&lt;&gt;"",I72,IF(G72="","",IF(ROUND(MOD(G72,1),1)&lt;=0.4,INT(G72)-1,INT(G72))))</f>
        <v/>
      </c>
      <c r="I72" s="56" t="n"/>
      <c r="J72" s="57">
        <f>IF(H72="","",IF(LOWER(A72)="gl",H72-2,IF(H72&gt;=60,H72-5,IF(AND(H72&gt;=50,H72&lt;60),H72-4,IF(AND(H72&gt;=10,H72&lt;50),H72-3,H72)))))</f>
        <v/>
      </c>
      <c r="K72" s="57" t="n"/>
    </row>
    <row r="73" ht="15" customHeight="1">
      <c r="A73" s="2" t="n"/>
      <c r="B73" s="2" t="n">
        <v>70</v>
      </c>
      <c r="C73" s="3" t="n"/>
      <c r="D73" s="25" t="inlineStr">
        <is>
          <t>J</t>
        </is>
      </c>
      <c r="E73" s="2" t="n">
        <v>46</v>
      </c>
      <c r="F73" s="5">
        <f>IF(E73="","",E73*1000)</f>
        <v/>
      </c>
      <c r="G73" s="23" t="n">
        <v>39</v>
      </c>
      <c r="H73" s="56">
        <f>IF(I73&lt;&gt;"",I73,IF(G73="","",IF(ROUND(MOD(G73,1),1)&lt;=0.4,INT(G73)-1,INT(G73))))</f>
        <v/>
      </c>
      <c r="I73" s="56" t="n"/>
      <c r="J73" s="57">
        <f>IF(H73="","",IF(LOWER(A73)="gl",H73-2,IF(H73&gt;=60,H73-5,IF(AND(H73&gt;=50,H73&lt;60),H73-4,IF(AND(H73&gt;=10,H73&lt;50),H73-3,H73)))))</f>
        <v/>
      </c>
      <c r="K73" s="57" t="n"/>
    </row>
    <row r="74" ht="15" customHeight="1">
      <c r="A74" s="2" t="n"/>
      <c r="B74" s="2" t="n">
        <v>71</v>
      </c>
      <c r="C74" s="3" t="n"/>
      <c r="D74" s="25" t="inlineStr">
        <is>
          <t>J</t>
        </is>
      </c>
      <c r="E74" s="2" t="n">
        <v>46</v>
      </c>
      <c r="F74" s="5">
        <f>IF(E74="","",E74*1000)</f>
        <v/>
      </c>
      <c r="G74" s="23" t="n">
        <v>37.1</v>
      </c>
      <c r="H74" s="56">
        <f>IF(I74&lt;&gt;"",I74,IF(G74="","",IF(ROUND(MOD(G74,1),1)&lt;=0.4,INT(G74)-1,INT(G74))))</f>
        <v/>
      </c>
      <c r="I74" s="56" t="n"/>
      <c r="J74" s="57">
        <f>IF(H74="","",IF(LOWER(A74)="gl",H74-2,IF(H74&gt;=60,H74-5,IF(AND(H74&gt;=50,H74&lt;60),H74-4,IF(AND(H74&gt;=10,H74&lt;50),H74-3,H74)))))</f>
        <v/>
      </c>
      <c r="K74" s="57" t="n"/>
    </row>
    <row r="75" ht="15" customHeight="1">
      <c r="A75" s="2" t="n"/>
      <c r="B75" s="2" t="n">
        <v>72</v>
      </c>
      <c r="C75" s="3" t="n"/>
      <c r="D75" s="3" t="inlineStr">
        <is>
          <t>J</t>
        </is>
      </c>
      <c r="E75" s="2" t="n">
        <v>48</v>
      </c>
      <c r="F75" s="5">
        <f>IF(E75="","",E75*1000)</f>
        <v/>
      </c>
      <c r="G75" s="23" t="n">
        <v>32.8</v>
      </c>
      <c r="H75" s="56">
        <f>IF(I75&lt;&gt;"",I75,IF(G75="","",IF(ROUND(MOD(G75,1),1)&lt;=0.4,INT(G75)-1,INT(G75))))</f>
        <v/>
      </c>
      <c r="I75" s="56" t="n"/>
      <c r="J75" s="57">
        <f>IF(H75="","",IF(LOWER(A75)="gl",H75-2,IF(H75&gt;=60,H75-5,IF(AND(H75&gt;=50,H75&lt;60),H75-4,IF(AND(H75&gt;=10,H75&lt;50),H75-3,H75)))))</f>
        <v/>
      </c>
      <c r="K75" s="57" t="n"/>
    </row>
    <row r="76" ht="15" customHeight="1">
      <c r="A76" s="2" t="n"/>
      <c r="B76" s="2" t="n">
        <v>73</v>
      </c>
      <c r="C76" s="3" t="n"/>
      <c r="D76" s="3" t="inlineStr">
        <is>
          <t>J</t>
        </is>
      </c>
      <c r="E76" s="2" t="n">
        <v>48</v>
      </c>
      <c r="F76" s="5">
        <f>IF(E76="","",E76*1000)</f>
        <v/>
      </c>
      <c r="G76" s="23" t="n">
        <v>38.5</v>
      </c>
      <c r="H76" s="56">
        <f>IF(I76&lt;&gt;"",I76,IF(G76="","",IF(ROUND(MOD(G76,1),1)&lt;=0.4,INT(G76)-1,INT(G76))))</f>
        <v/>
      </c>
      <c r="I76" s="56" t="n"/>
      <c r="J76" s="57">
        <f>IF(H76="","",IF(LOWER(A76)="gl",H76-2,IF(H76&gt;=60,H76-5,IF(AND(H76&gt;=50,H76&lt;60),H76-4,IF(AND(H76&gt;=10,H76&lt;50),H76-3,H76)))))</f>
        <v/>
      </c>
      <c r="K76" s="57" t="n"/>
    </row>
    <row r="77" ht="15" customHeight="1" thickBot="1">
      <c r="A77" s="35" t="n"/>
      <c r="B77" s="35" t="n">
        <v>74</v>
      </c>
      <c r="C77" s="36" t="n"/>
      <c r="D77" s="36" t="inlineStr">
        <is>
          <t>J</t>
        </is>
      </c>
      <c r="E77" s="35" t="n">
        <v>42</v>
      </c>
      <c r="F77" s="37">
        <f>IF(E77="","",E77*1000)</f>
        <v/>
      </c>
      <c r="G77" s="34" t="n">
        <v>53.5</v>
      </c>
      <c r="H77" s="56">
        <f>IF(I77&lt;&gt;"",I77,IF(G77="","",IF(ROUND(MOD(G77,1),1)&lt;=0.4,INT(G77)-1,INT(G77))))</f>
        <v/>
      </c>
      <c r="I77" s="56" t="n"/>
      <c r="J77" s="57">
        <f>IF(H77="","",IF(LOWER(A77)="gl",H77-2,IF(H77&gt;=60,H77-5,IF(AND(H77&gt;=50,H77&lt;60),H77-4,IF(AND(H77&gt;=10,H77&lt;50),H77-3,H77)))))</f>
        <v/>
      </c>
      <c r="K77" s="57" t="n"/>
    </row>
    <row r="78" ht="15" customHeight="1">
      <c r="A78" s="10" t="n"/>
      <c r="B78" s="10" t="n">
        <v>75</v>
      </c>
      <c r="C78" s="11" t="n"/>
      <c r="D78" s="11" t="inlineStr">
        <is>
          <t>H.HANAN</t>
        </is>
      </c>
      <c r="E78" s="10" t="n">
        <v>45</v>
      </c>
      <c r="F78" s="13">
        <f>IF(E78="","",E78*1000)</f>
        <v/>
      </c>
      <c r="G78" s="27" t="n"/>
      <c r="H78" s="56">
        <f>IF(I78&lt;&gt;"",I78,IF(G78="","",IF(ROUND(MOD(G78,1),1)&lt;=0.4,INT(G78)-1,INT(G78))))</f>
        <v/>
      </c>
      <c r="I78" s="56" t="n"/>
      <c r="J78" s="57">
        <f>IF(H78="","",IF(LOWER(A78)="gl",H78-2,IF(H78&gt;=60,H78-5,IF(AND(H78&gt;=50,H78&lt;60),H78-4,IF(AND(H78&gt;=10,H78&lt;50),H78-3,H78)))))</f>
        <v/>
      </c>
      <c r="K78" s="57" t="n"/>
    </row>
    <row r="79" ht="15" customHeight="1">
      <c r="A79" s="2" t="n"/>
      <c r="B79" s="2" t="n">
        <v>76</v>
      </c>
      <c r="C79" s="3" t="n"/>
      <c r="D79" s="3" t="inlineStr">
        <is>
          <t>(9/8/26)</t>
        </is>
      </c>
      <c r="E79" s="2" t="n">
        <v>45</v>
      </c>
      <c r="F79" s="5">
        <f>IF(E79="","",E79*1000)</f>
        <v/>
      </c>
      <c r="G79" s="23" t="n"/>
      <c r="H79" s="56">
        <f>IF(I79&lt;&gt;"",I79,IF(G79="","",IF(ROUND(MOD(G79,1),1)&lt;=0.4,INT(G79)-1,INT(G79))))</f>
        <v/>
      </c>
      <c r="I79" s="56" t="n"/>
      <c r="J79" s="57">
        <f>IF(H79="","",IF(LOWER(A79)="gl",H79-2,IF(H79&gt;=60,H79-5,IF(AND(H79&gt;=50,H79&lt;60),H79-4,IF(AND(H79&gt;=10,H79&lt;50),H79-3,H79)))))</f>
        <v/>
      </c>
      <c r="K79" s="57" t="n"/>
    </row>
    <row r="80" ht="15" customHeight="1">
      <c r="A80" s="2" t="n"/>
      <c r="B80" s="2" t="n">
        <v>77</v>
      </c>
      <c r="C80" s="3" t="n"/>
      <c r="D80" s="3" t="inlineStr">
        <is>
          <t>Panggeremman</t>
        </is>
      </c>
      <c r="E80" s="2" t="n">
        <v>45</v>
      </c>
      <c r="F80" s="5">
        <f>IF(E80="","",E80*1000)</f>
        <v/>
      </c>
      <c r="G80" s="23" t="n"/>
      <c r="H80" s="56">
        <f>IF(I80&lt;&gt;"",I80,IF(G80="","",IF(ROUND(MOD(G80,1),1)&lt;=0.4,INT(G80)-1,INT(G80))))</f>
        <v/>
      </c>
      <c r="I80" s="56" t="n"/>
      <c r="J80" s="57">
        <f>IF(H80="","",IF(LOWER(A80)="gl",H80-2,IF(H80&gt;=60,H80-5,IF(AND(H80&gt;=50,H80&lt;60),H80-4,IF(AND(H80&gt;=10,H80&lt;50),H80-3,H80)))))</f>
        <v/>
      </c>
      <c r="K80" s="57" t="n"/>
    </row>
    <row r="81" ht="15" customHeight="1">
      <c r="A81" s="2" t="n"/>
      <c r="B81" s="2" t="n">
        <v>78</v>
      </c>
      <c r="C81" s="3" t="n"/>
      <c r="D81" s="3" t="n"/>
      <c r="E81" s="2" t="n">
        <v>45</v>
      </c>
      <c r="F81" s="5">
        <f>IF(E81="","",E81*1000)</f>
        <v/>
      </c>
      <c r="G81" s="23" t="n"/>
      <c r="H81" s="56">
        <f>IF(I81&lt;&gt;"",I81,IF(G81="","",IF(ROUND(MOD(G81,1),1)&lt;=0.4,INT(G81)-1,INT(G81))))</f>
        <v/>
      </c>
      <c r="I81" s="56" t="n"/>
      <c r="J81" s="57">
        <f>IF(H81="","",IF(LOWER(A81)="gl",H81-2,IF(H81&gt;=60,H81-5,IF(AND(H81&gt;=50,H81&lt;60),H81-4,IF(AND(H81&gt;=10,H81&lt;50),H81-3,H81)))))</f>
        <v/>
      </c>
      <c r="K81" s="57" t="n"/>
    </row>
    <row r="82" ht="15" customHeight="1">
      <c r="A82" s="2" t="n"/>
      <c r="B82" s="2" t="n">
        <v>79</v>
      </c>
      <c r="C82" s="3" t="n"/>
      <c r="D82" s="3" t="n"/>
      <c r="E82" s="2" t="n">
        <v>45</v>
      </c>
      <c r="F82" s="5">
        <f>IF(E82="","",E82*1000)</f>
        <v/>
      </c>
      <c r="G82" s="23" t="n"/>
      <c r="H82" s="56">
        <f>IF(I82&lt;&gt;"",I82,IF(G82="","",IF(ROUND(MOD(G82,1),1)&lt;=0.4,INT(G82)-1,INT(G82))))</f>
        <v/>
      </c>
      <c r="I82" s="56" t="n"/>
      <c r="J82" s="57">
        <f>IF(H82="","",IF(LOWER(A82)="gl",H82-2,IF(H82&gt;=60,H82-5,IF(AND(H82&gt;=50,H82&lt;60),H82-4,IF(AND(H82&gt;=10,H82&lt;50),H82-3,H82)))))</f>
        <v/>
      </c>
      <c r="K82" s="57" t="n"/>
    </row>
    <row r="83" ht="15" customHeight="1" thickBot="1">
      <c r="A83" s="35" t="n"/>
      <c r="B83" s="35" t="n">
        <v>80</v>
      </c>
      <c r="C83" s="36" t="n"/>
      <c r="D83" s="36" t="n"/>
      <c r="E83" s="35" t="n">
        <v>45</v>
      </c>
      <c r="F83" s="37">
        <f>IF(E83="","",E83*1000)</f>
        <v/>
      </c>
      <c r="G83" s="34" t="n"/>
      <c r="H83" s="56">
        <f>IF(I83&lt;&gt;"",I83,IF(G83="","",IF(ROUND(MOD(G83,1),1)&lt;=0.4,INT(G83)-1,INT(G83))))</f>
        <v/>
      </c>
      <c r="I83" s="56" t="n"/>
      <c r="J83" s="57">
        <f>IF(H83="","",IF(LOWER(A83)="gl",H83-2,IF(H83&gt;=60,H83-5,IF(AND(H83&gt;=50,H83&lt;60),H83-4,IF(AND(H83&gt;=10,H83&lt;50),H83-3,H83)))))</f>
        <v/>
      </c>
      <c r="K83" s="57" t="n"/>
    </row>
    <row r="84" ht="15" customHeight="1">
      <c r="A84" s="10" t="n"/>
      <c r="B84" s="10" t="n">
        <v>81</v>
      </c>
      <c r="C84" s="11" t="n"/>
      <c r="D84" s="11" t="inlineStr">
        <is>
          <t>H.HANAN</t>
        </is>
      </c>
      <c r="E84" s="10" t="n">
        <v>64</v>
      </c>
      <c r="F84" s="13">
        <f>IF(E84="","",E84*1000)</f>
        <v/>
      </c>
      <c r="G84" s="27" t="n">
        <v>60</v>
      </c>
      <c r="H84" s="56">
        <f>IF(I84&lt;&gt;"",I84,IF(G84="","",IF(ROUND(MOD(G84,1),1)&lt;=0.4,INT(G84)-1,INT(G84))))</f>
        <v/>
      </c>
      <c r="I84" s="56" t="n"/>
      <c r="J84" s="57">
        <f>IF(H84="","",IF(LOWER(A84)="gl",H84-2,IF(H84&gt;=60,H84-5,IF(AND(H84&gt;=50,H84&lt;60),H84-4,IF(AND(H84&gt;=10,H84&lt;50),H84-3,H84)))))</f>
        <v/>
      </c>
      <c r="K84" s="57" t="n"/>
    </row>
    <row r="85" ht="15" customHeight="1">
      <c r="A85" s="2" t="n"/>
      <c r="B85" s="2" t="n">
        <v>82</v>
      </c>
      <c r="C85" s="3" t="n"/>
      <c r="D85" s="3" t="inlineStr">
        <is>
          <t>(9/8/26)</t>
        </is>
      </c>
      <c r="E85" s="2" t="n">
        <v>64</v>
      </c>
      <c r="F85" s="5">
        <f>IF(E85="","",E85*1000)</f>
        <v/>
      </c>
      <c r="G85" s="23" t="n">
        <v>56.3</v>
      </c>
      <c r="H85" s="56">
        <f>IF(I85&lt;&gt;"",I85,IF(G85="","",IF(ROUND(MOD(G85,1),1)&lt;=0.4,INT(G85)-1,INT(G85))))</f>
        <v/>
      </c>
      <c r="I85" s="56" t="n"/>
      <c r="J85" s="57">
        <f>IF(H85="","",IF(LOWER(A85)="gl",H85-2,IF(H85&gt;=60,H85-5,IF(AND(H85&gt;=50,H85&lt;60),H85-4,IF(AND(H85&gt;=10,H85&lt;50),H85-3,H85)))))</f>
        <v/>
      </c>
      <c r="K85" s="57" t="n"/>
    </row>
    <row r="86" ht="15" customHeight="1">
      <c r="A86" s="2" t="n"/>
      <c r="B86" s="2" t="n">
        <v>83</v>
      </c>
      <c r="C86" s="3" t="n"/>
      <c r="D86" s="3" t="inlineStr">
        <is>
          <t>Panggeremman</t>
        </is>
      </c>
      <c r="E86" s="2" t="n">
        <v>64</v>
      </c>
      <c r="F86" s="5">
        <f>IF(E86="","",E86*1000)</f>
        <v/>
      </c>
      <c r="G86" s="23" t="n">
        <v>53.3</v>
      </c>
      <c r="H86" s="56">
        <f>IF(I86&lt;&gt;"",I86,IF(G86="","",IF(ROUND(MOD(G86,1),1)&lt;=0.4,INT(G86)-1,INT(G86))))</f>
        <v/>
      </c>
      <c r="I86" s="56" t="n"/>
      <c r="J86" s="57">
        <f>IF(H86="","",IF(LOWER(A86)="gl",H86-2,IF(H86&gt;=60,H86-5,IF(AND(H86&gt;=50,H86&lt;60),H86-4,IF(AND(H86&gt;=10,H86&lt;50),H86-3,H86)))))</f>
        <v/>
      </c>
      <c r="K86" s="57" t="n"/>
    </row>
    <row r="87" ht="15" customHeight="1">
      <c r="A87" s="2" t="n"/>
      <c r="B87" s="2" t="n">
        <v>84</v>
      </c>
      <c r="C87" s="3" t="n"/>
      <c r="D87" s="3" t="n"/>
      <c r="E87" s="2" t="n">
        <v>55</v>
      </c>
      <c r="F87" s="5">
        <f>IF(E87="","",E87*1000)</f>
        <v/>
      </c>
      <c r="G87" s="23" t="n">
        <v>53.3</v>
      </c>
      <c r="H87" s="56">
        <f>IF(I87&lt;&gt;"",I87,IF(G87="","",IF(ROUND(MOD(G87,1),1)&lt;=0.4,INT(G87)-1,INT(G87))))</f>
        <v/>
      </c>
      <c r="I87" s="56" t="n"/>
      <c r="J87" s="57">
        <f>IF(H87="","",IF(LOWER(A87)="gl",H87-2,IF(H87&gt;=60,H87-5,IF(AND(H87&gt;=50,H87&lt;60),H87-4,IF(AND(H87&gt;=10,H87&lt;50),H87-3,H87)))))</f>
        <v/>
      </c>
      <c r="K87" s="57" t="n"/>
    </row>
    <row r="88" ht="15" customHeight="1">
      <c r="A88" s="2" t="n"/>
      <c r="B88" s="2" t="n">
        <v>85</v>
      </c>
      <c r="C88" s="3" t="n"/>
      <c r="D88" s="3" t="n"/>
      <c r="E88" s="2" t="n">
        <v>55</v>
      </c>
      <c r="F88" s="5">
        <f>IF(E88="","",E88*1000)</f>
        <v/>
      </c>
      <c r="G88" s="23" t="n">
        <v>53.7</v>
      </c>
      <c r="H88" s="56">
        <f>IF(I88&lt;&gt;"",I88,IF(G88="","",IF(ROUND(MOD(G88,1),1)&lt;=0.4,INT(G88)-1,INT(G88))))</f>
        <v/>
      </c>
      <c r="I88" s="56" t="n"/>
      <c r="J88" s="57">
        <f>IF(H88="","",IF(LOWER(A88)="gl",H88-2,IF(H88&gt;=60,H88-5,IF(AND(H88&gt;=50,H88&lt;60),H88-4,IF(AND(H88&gt;=10,H88&lt;50),H88-3,H88)))))</f>
        <v/>
      </c>
      <c r="K88" s="57" t="n"/>
    </row>
    <row r="89" ht="15" customHeight="1">
      <c r="A89" s="2" t="n"/>
      <c r="B89" s="2" t="n">
        <v>86</v>
      </c>
      <c r="C89" s="3" t="n"/>
      <c r="D89" s="3" t="n"/>
      <c r="E89" s="2" t="n">
        <v>55</v>
      </c>
      <c r="F89" s="5">
        <f>IF(E89="","",E89*1000)</f>
        <v/>
      </c>
      <c r="G89" s="23" t="n">
        <v>54.3</v>
      </c>
      <c r="H89" s="56">
        <f>IF(I89&lt;&gt;"",I89,IF(G89="","",IF(ROUND(MOD(G89,1),1)&lt;=0.4,INT(G89)-1,INT(G89))))</f>
        <v/>
      </c>
      <c r="I89" s="56" t="n"/>
      <c r="J89" s="57">
        <f>IF(H89="","",IF(LOWER(A89)="gl",H89-2,IF(H89&gt;=60,H89-5,IF(AND(H89&gt;=50,H89&lt;60),H89-4,IF(AND(H89&gt;=10,H89&lt;50),H89-3,H89)))))</f>
        <v/>
      </c>
      <c r="K89" s="57" t="n"/>
    </row>
    <row r="90" ht="15" customHeight="1">
      <c r="A90" s="2" t="n"/>
      <c r="B90" s="2" t="n">
        <v>87</v>
      </c>
      <c r="C90" s="3" t="n"/>
      <c r="D90" s="3" t="n"/>
      <c r="E90" s="2" t="n">
        <v>55</v>
      </c>
      <c r="F90" s="5">
        <f>IF(E90="","",E90*1000)</f>
        <v/>
      </c>
      <c r="G90" s="23" t="n">
        <v>53</v>
      </c>
      <c r="H90" s="56">
        <f>IF(I90&lt;&gt;"",I90,IF(G90="","",IF(ROUND(MOD(G90,1),1)&lt;=0.4,INT(G90)-1,INT(G90))))</f>
        <v/>
      </c>
      <c r="I90" s="56" t="n"/>
      <c r="J90" s="57">
        <f>IF(H90="","",IF(LOWER(A90)="gl",H90-2,IF(H90&gt;=60,H90-5,IF(AND(H90&gt;=50,H90&lt;60),H90-4,IF(AND(H90&gt;=10,H90&lt;50),H90-3,H90)))))</f>
        <v/>
      </c>
      <c r="K90" s="57" t="n"/>
    </row>
    <row r="91" ht="15" customHeight="1">
      <c r="A91" s="2" t="n"/>
      <c r="B91" s="2" t="n">
        <v>88</v>
      </c>
      <c r="C91" s="3" t="n"/>
      <c r="D91" s="3" t="n"/>
      <c r="E91" s="2" t="n">
        <v>55</v>
      </c>
      <c r="F91" s="5">
        <f>IF(E91="","",E91*1000)</f>
        <v/>
      </c>
      <c r="G91" s="23" t="n">
        <v>54.8</v>
      </c>
      <c r="H91" s="56">
        <f>IF(I91&lt;&gt;"",I91,IF(G91="","",IF(ROUND(MOD(G91,1),1)&lt;=0.4,INT(G91)-1,INT(G91))))</f>
        <v/>
      </c>
      <c r="I91" s="56" t="n"/>
      <c r="J91" s="57">
        <f>IF(H91="","",IF(LOWER(A91)="gl",H91-2,IF(H91&gt;=60,H91-5,IF(AND(H91&gt;=50,H91&lt;60),H91-4,IF(AND(H91&gt;=10,H91&lt;50),H91-3,H91)))))</f>
        <v/>
      </c>
      <c r="K91" s="57" t="n"/>
    </row>
    <row r="92" ht="15" customHeight="1">
      <c r="A92" s="2" t="n"/>
      <c r="B92" s="2" t="n">
        <v>89</v>
      </c>
      <c r="C92" s="3" t="inlineStr">
        <is>
          <t>GT</t>
        </is>
      </c>
      <c r="D92" s="3" t="n"/>
      <c r="E92" s="2" t="n">
        <v>62</v>
      </c>
      <c r="F92" s="5">
        <f>IF(E92="","",E92*1000)</f>
        <v/>
      </c>
      <c r="G92" s="23" t="n">
        <v>54.1</v>
      </c>
      <c r="H92" s="56">
        <f>IF(I92&lt;&gt;"",I92,IF(G92="","",IF(ROUND(MOD(G92,1),1)&lt;=0.4,INT(G92)-1,INT(G92))))</f>
        <v/>
      </c>
      <c r="I92" s="56" t="n"/>
      <c r="J92" s="57">
        <f>IF(H92="","",IF(LOWER(A92)="gl",H92-2,IF(H92&gt;=60,H92-5,IF(AND(H92&gt;=50,H92&lt;60),H92-4,IF(AND(H92&gt;=10,H92&lt;50),H92-3,H92)))))</f>
        <v/>
      </c>
      <c r="K92" s="57" t="n"/>
    </row>
    <row r="93" ht="15" customHeight="1">
      <c r="A93" s="2" t="n"/>
      <c r="B93" s="2" t="n">
        <v>90</v>
      </c>
      <c r="C93" s="3" t="inlineStr">
        <is>
          <t>GT</t>
        </is>
      </c>
      <c r="D93" s="3" t="n"/>
      <c r="E93" s="2" t="n">
        <v>62</v>
      </c>
      <c r="F93" s="5">
        <f>IF(E93="","",E93*1000)</f>
        <v/>
      </c>
      <c r="G93" s="23" t="n">
        <v>53</v>
      </c>
      <c r="H93" s="56">
        <f>IF(I93&lt;&gt;"",I93,IF(G93="","",IF(ROUND(MOD(G93,1),1)&lt;=0.4,INT(G93)-1,INT(G93))))</f>
        <v/>
      </c>
      <c r="I93" s="56" t="n"/>
      <c r="J93" s="57">
        <f>IF(H93="","",IF(LOWER(A93)="gl",H93-2,IF(H93&gt;=60,H93-5,IF(AND(H93&gt;=50,H93&lt;60),H93-4,IF(AND(H93&gt;=10,H93&lt;50),H93-3,H93)))))</f>
        <v/>
      </c>
      <c r="K93" s="57" t="n"/>
    </row>
    <row r="94" ht="15" customHeight="1">
      <c r="A94" s="2" t="n"/>
      <c r="B94" s="2" t="n">
        <v>91</v>
      </c>
      <c r="C94" s="3" t="inlineStr">
        <is>
          <t>GT</t>
        </is>
      </c>
      <c r="D94" s="3" t="n"/>
      <c r="E94" s="2" t="n">
        <v>62</v>
      </c>
      <c r="F94" s="5">
        <f>IF(E94="","",E94*1000)</f>
        <v/>
      </c>
      <c r="G94" s="23" t="n">
        <v>51.4</v>
      </c>
      <c r="H94" s="56">
        <f>IF(I94&lt;&gt;"",I94,IF(G94="","",IF(ROUND(MOD(G94,1),1)&lt;=0.4,INT(G94)-1,INT(G94))))</f>
        <v/>
      </c>
      <c r="I94" s="56" t="n"/>
      <c r="J94" s="57">
        <f>IF(H94="","",IF(LOWER(A94)="gl",H94-2,IF(H94&gt;=60,H94-5,IF(AND(H94&gt;=50,H94&lt;60),H94-4,IF(AND(H94&gt;=10,H94&lt;50),H94-3,H94)))))</f>
        <v/>
      </c>
      <c r="K94" s="57" t="n"/>
    </row>
    <row r="95" ht="15" customHeight="1">
      <c r="A95" s="2" t="n"/>
      <c r="B95" s="2" t="n">
        <v>92</v>
      </c>
      <c r="C95" s="3" t="n"/>
      <c r="D95" s="3" t="n"/>
      <c r="E95" s="2" t="n">
        <v>58</v>
      </c>
      <c r="F95" s="5">
        <f>IF(E95="","",E95*1000)</f>
        <v/>
      </c>
      <c r="G95" s="23" t="n">
        <v>57</v>
      </c>
      <c r="H95" s="56">
        <f>IF(I95&lt;&gt;"",I95,IF(G95="","",IF(ROUND(MOD(G95,1),1)&lt;=0.4,INT(G95)-1,INT(G95))))</f>
        <v/>
      </c>
      <c r="I95" s="56" t="n"/>
      <c r="J95" s="57">
        <f>IF(H95="","",IF(LOWER(A95)="gl",H95-2,IF(H95&gt;=60,H95-5,IF(AND(H95&gt;=50,H95&lt;60),H95-4,IF(AND(H95&gt;=10,H95&lt;50),H95-3,H95)))))</f>
        <v/>
      </c>
      <c r="K95" s="57" t="n"/>
    </row>
    <row r="96" ht="15" customHeight="1">
      <c r="A96" s="2" t="n"/>
      <c r="B96" s="2" t="n">
        <v>93</v>
      </c>
      <c r="C96" s="3" t="inlineStr">
        <is>
          <t>GT</t>
        </is>
      </c>
      <c r="D96" s="3" t="n"/>
      <c r="E96" s="2" t="n">
        <v>58</v>
      </c>
      <c r="F96" s="5">
        <f>IF(E96="","",E96*1000)</f>
        <v/>
      </c>
      <c r="G96" s="23" t="n">
        <v>54</v>
      </c>
      <c r="H96" s="56">
        <f>IF(I96&lt;&gt;"",I96,IF(G96="","",IF(ROUND(MOD(G96,1),1)&lt;=0.4,INT(G96)-1,INT(G96))))</f>
        <v/>
      </c>
      <c r="I96" s="56" t="n"/>
      <c r="J96" s="57">
        <f>IF(H96="","",IF(LOWER(A96)="gl",H96-2,IF(H96&gt;=60,H96-5,IF(AND(H96&gt;=50,H96&lt;60),H96-4,IF(AND(H96&gt;=10,H96&lt;50),H96-3,H96)))))</f>
        <v/>
      </c>
      <c r="K96" s="57" t="n"/>
    </row>
    <row r="97" ht="15" customHeight="1">
      <c r="A97" s="2" t="n"/>
      <c r="B97" s="2" t="n">
        <v>94</v>
      </c>
      <c r="C97" s="3" t="n"/>
      <c r="D97" s="3" t="n"/>
      <c r="E97" s="2" t="n">
        <v>53</v>
      </c>
      <c r="F97" s="5">
        <f>IF(E97="","",E97*1000)</f>
        <v/>
      </c>
      <c r="G97" s="23" t="n">
        <v>53</v>
      </c>
      <c r="H97" s="56">
        <f>IF(I97&lt;&gt;"",I97,IF(G97="","",IF(ROUND(MOD(G97,1),1)&lt;=0.4,INT(G97)-1,INT(G97))))</f>
        <v/>
      </c>
      <c r="I97" s="56" t="n"/>
      <c r="J97" s="57">
        <f>IF(H97="","",IF(LOWER(A97)="gl",H97-2,IF(H97&gt;=60,H97-5,IF(AND(H97&gt;=50,H97&lt;60),H97-4,IF(AND(H97&gt;=10,H97&lt;50),H97-3,H97)))))</f>
        <v/>
      </c>
      <c r="K97" s="57" t="n"/>
    </row>
    <row r="98" ht="15" customHeight="1">
      <c r="A98" s="2" t="n"/>
      <c r="B98" s="2" t="n">
        <v>95</v>
      </c>
      <c r="C98" s="3" t="n"/>
      <c r="D98" s="3" t="n"/>
      <c r="E98" s="2" t="n">
        <v>53</v>
      </c>
      <c r="F98" s="5">
        <f>IF(E98="","",E98*1000)</f>
        <v/>
      </c>
      <c r="G98" s="23" t="n">
        <v>59</v>
      </c>
      <c r="H98" s="56">
        <f>IF(I98&lt;&gt;"",I98,IF(G98="","",IF(ROUND(MOD(G98,1),1)&lt;=0.4,INT(G98)-1,INT(G98))))</f>
        <v/>
      </c>
      <c r="I98" s="56" t="n"/>
      <c r="J98" s="57">
        <f>IF(H98="","",IF(LOWER(A98)="gl",H98-2,IF(H98&gt;=60,H98-5,IF(AND(H98&gt;=50,H98&lt;60),H98-4,IF(AND(H98&gt;=10,H98&lt;50),H98-3,H98)))))</f>
        <v/>
      </c>
      <c r="K98" s="57" t="n"/>
    </row>
    <row r="99" ht="15" customHeight="1">
      <c r="A99" s="2" t="n"/>
      <c r="B99" s="2" t="n">
        <v>96</v>
      </c>
      <c r="C99" s="3" t="n"/>
      <c r="D99" s="3" t="n"/>
      <c r="E99" s="2" t="n">
        <v>53</v>
      </c>
      <c r="F99" s="5">
        <f>IF(E99="","",E99*1000)</f>
        <v/>
      </c>
      <c r="G99" s="23" t="n">
        <v>55.2</v>
      </c>
      <c r="H99" s="56">
        <f>IF(I99&lt;&gt;"",I99,IF(G99="","",IF(ROUND(MOD(G99,1),1)&lt;=0.4,INT(G99)-1,INT(G99))))</f>
        <v/>
      </c>
      <c r="I99" s="56" t="n"/>
      <c r="J99" s="57">
        <f>IF(H99="","",IF(LOWER(A99)="gl",H99-2,IF(H99&gt;=60,H99-5,IF(AND(H99&gt;=50,H99&lt;60),H99-4,IF(AND(H99&gt;=10,H99&lt;50),H99-3,H99)))))</f>
        <v/>
      </c>
      <c r="K99" s="57" t="n"/>
    </row>
    <row r="100" ht="15" customHeight="1">
      <c r="A100" s="2" t="n"/>
      <c r="B100" s="2" t="n">
        <v>97</v>
      </c>
      <c r="C100" s="3" t="n"/>
      <c r="D100" s="3" t="n"/>
      <c r="E100" s="2" t="n">
        <v>46</v>
      </c>
      <c r="F100" s="5">
        <f>IF(E100="","",E100*1000)</f>
        <v/>
      </c>
      <c r="G100" s="23" t="n">
        <v>57</v>
      </c>
      <c r="H100" s="56">
        <f>IF(I100&lt;&gt;"",I100,IF(G100="","",IF(ROUND(MOD(G100,1),1)&lt;=0.4,INT(G100)-1,INT(G100))))</f>
        <v/>
      </c>
      <c r="I100" s="56" t="n"/>
      <c r="J100" s="57">
        <f>IF(H100="","",IF(LOWER(A100)="gl",H100-2,IF(H100&gt;=60,H100-5,IF(AND(H100&gt;=50,H100&lt;60),H100-4,IF(AND(H100&gt;=10,H100&lt;50),H100-3,H100)))))</f>
        <v/>
      </c>
      <c r="K100" s="57" t="n"/>
    </row>
    <row r="101" ht="15" customHeight="1">
      <c r="A101" s="2" t="n"/>
      <c r="B101" s="2" t="n">
        <v>98</v>
      </c>
      <c r="C101" s="3" t="inlineStr">
        <is>
          <t>GT</t>
        </is>
      </c>
      <c r="D101" s="3" t="n"/>
      <c r="E101" s="2" t="n">
        <v>55</v>
      </c>
      <c r="F101" s="5">
        <f>IF(E101="","",E101*1000)</f>
        <v/>
      </c>
      <c r="G101" s="23" t="n">
        <v>58</v>
      </c>
      <c r="H101" s="56">
        <f>IF(I101&lt;&gt;"",I101,IF(G101="","",IF(ROUND(MOD(G101,1),1)&lt;=0.4,INT(G101)-1,INT(G101))))</f>
        <v/>
      </c>
      <c r="I101" s="56" t="n"/>
      <c r="J101" s="57">
        <f>IF(H101="","",IF(LOWER(A101)="gl",H101-2,IF(H101&gt;=60,H101-5,IF(AND(H101&gt;=50,H101&lt;60),H101-4,IF(AND(H101&gt;=10,H101&lt;50),H101-3,H101)))))</f>
        <v/>
      </c>
      <c r="K101" s="57" t="n"/>
    </row>
    <row r="102" ht="15" customHeight="1">
      <c r="A102" s="2" t="n"/>
      <c r="B102" s="2" t="n">
        <v>99</v>
      </c>
      <c r="C102" s="3" t="inlineStr">
        <is>
          <t>GT</t>
        </is>
      </c>
      <c r="D102" s="3" t="n"/>
      <c r="E102" s="2" t="n">
        <v>58</v>
      </c>
      <c r="F102" s="5">
        <f>IF(E102="","",E102*1000)</f>
        <v/>
      </c>
      <c r="G102" s="23" t="n">
        <v>51</v>
      </c>
      <c r="H102" s="56">
        <f>IF(I102&lt;&gt;"",I102,IF(G102="","",IF(ROUND(MOD(G102,1),1)&lt;=0.4,INT(G102)-1,INT(G102))))</f>
        <v/>
      </c>
      <c r="I102" s="56" t="n"/>
      <c r="J102" s="57">
        <f>IF(H102="","",IF(LOWER(A102)="gl",H102-2,IF(H102&gt;=60,H102-5,IF(AND(H102&gt;=50,H102&lt;60),H102-4,IF(AND(H102&gt;=10,H102&lt;50),H102-3,H102)))))</f>
        <v/>
      </c>
      <c r="K102" s="57" t="n"/>
    </row>
    <row r="103" ht="15" customHeight="1">
      <c r="A103" s="2" t="n"/>
      <c r="B103" s="2" t="n">
        <v>100</v>
      </c>
      <c r="C103" s="3" t="n"/>
      <c r="D103" s="3" t="n"/>
      <c r="E103" s="2" t="n">
        <v>58</v>
      </c>
      <c r="F103" s="5">
        <f>IF(E103="","",E103*1000)</f>
        <v/>
      </c>
      <c r="G103" s="23" t="n">
        <v>44</v>
      </c>
      <c r="H103" s="56">
        <f>IF(I103&lt;&gt;"",I103,IF(G103="","",IF(ROUND(MOD(G103,1),1)&lt;=0.4,INT(G103)-1,INT(G103))))</f>
        <v/>
      </c>
      <c r="I103" s="56" t="n"/>
      <c r="J103" s="57">
        <f>IF(H103="","",IF(LOWER(A103)="gl",H103-2,IF(H103&gt;=60,H103-5,IF(AND(H103&gt;=50,H103&lt;60),H103-4,IF(AND(H103&gt;=10,H103&lt;50),H103-3,H103)))))</f>
        <v/>
      </c>
      <c r="K103" s="57" t="n"/>
    </row>
    <row r="104" ht="15" customHeight="1" thickBot="1">
      <c r="A104" s="35" t="n"/>
      <c r="B104" s="35" t="n">
        <v>101</v>
      </c>
      <c r="C104" s="36" t="inlineStr">
        <is>
          <t>GT</t>
        </is>
      </c>
      <c r="D104" s="36" t="n"/>
      <c r="E104" s="35" t="n">
        <v>45</v>
      </c>
      <c r="F104" s="37">
        <f>IF(E104="","",E104*1000)</f>
        <v/>
      </c>
      <c r="G104" s="34" t="n">
        <v>56.3</v>
      </c>
      <c r="H104" s="56">
        <f>IF(I104&lt;&gt;"",I104,IF(G104="","",IF(ROUND(MOD(G104,1),1)&lt;=0.4,INT(G104)-1,INT(G104))))</f>
        <v/>
      </c>
      <c r="I104" s="56" t="n"/>
      <c r="J104" s="57">
        <f>IF(H104="","",IF(LOWER(A104)="gl",H104-2,IF(H104&gt;=60,H104-5,IF(AND(H104&gt;=50,H104&lt;60),H104-4,IF(AND(H104&gt;=10,H104&lt;50),H104-3,H104)))))</f>
        <v/>
      </c>
      <c r="K104" s="57" t="n"/>
    </row>
    <row r="105" ht="15" customHeight="1">
      <c r="A105" s="10" t="n"/>
      <c r="B105" s="10" t="n">
        <v>102</v>
      </c>
      <c r="C105" s="11" t="n"/>
      <c r="D105" s="11" t="inlineStr">
        <is>
          <t>H.HANAN</t>
        </is>
      </c>
      <c r="E105" s="10" t="n">
        <v>68</v>
      </c>
      <c r="F105" s="13">
        <f>IF(E105="","",E105*1000)</f>
        <v/>
      </c>
      <c r="G105" s="27" t="n">
        <v>36.6</v>
      </c>
      <c r="H105" s="56">
        <f>IF(I105&lt;&gt;"",I105,IF(G105="","",IF(ROUND(MOD(G105,1),1)&lt;=0.4,INT(G105)-1,INT(G105))))</f>
        <v/>
      </c>
      <c r="I105" s="56" t="n"/>
      <c r="J105" s="57">
        <f>IF(H105="","",IF(LOWER(A105)="gl",H105-2,IF(H105&gt;=60,H105-5,IF(AND(H105&gt;=50,H105&lt;60),H105-4,IF(AND(H105&gt;=10,H105&lt;50),H105-3,H105)))))</f>
        <v/>
      </c>
      <c r="K105" s="57" t="n"/>
    </row>
    <row r="106" ht="15" customHeight="1">
      <c r="A106" s="2" t="n"/>
      <c r="B106" s="2" t="n">
        <v>103</v>
      </c>
      <c r="C106" s="3" t="n"/>
      <c r="D106" s="3" t="inlineStr">
        <is>
          <t>(9/8/26)</t>
        </is>
      </c>
      <c r="E106" s="2" t="n">
        <v>68</v>
      </c>
      <c r="F106" s="5">
        <f>IF(E106="","",E106*1000)</f>
        <v/>
      </c>
      <c r="G106" s="23" t="n">
        <v>37.2</v>
      </c>
      <c r="H106" s="56">
        <f>IF(I106&lt;&gt;"",I106,IF(G106="","",IF(ROUND(MOD(G106,1),1)&lt;=0.4,INT(G106)-1,INT(G106))))</f>
        <v/>
      </c>
      <c r="I106" s="56" t="n"/>
      <c r="J106" s="57">
        <f>IF(H106="","",IF(LOWER(A106)="gl",H106-2,IF(H106&gt;=60,H106-5,IF(AND(H106&gt;=50,H106&lt;60),H106-4,IF(AND(H106&gt;=10,H106&lt;50),H106-3,H106)))))</f>
        <v/>
      </c>
      <c r="K106" s="57" t="n"/>
    </row>
    <row r="107" ht="15" customHeight="1">
      <c r="A107" s="2" t="n"/>
      <c r="B107" s="2" t="n">
        <v>104</v>
      </c>
      <c r="C107" s="3" t="n"/>
      <c r="D107" s="3" t="n"/>
      <c r="E107" s="2" t="n">
        <v>68</v>
      </c>
      <c r="F107" s="5">
        <f>IF(E107="","",E107*1000)</f>
        <v/>
      </c>
      <c r="G107" s="23" t="n">
        <v>50.7</v>
      </c>
      <c r="H107" s="56">
        <f>IF(I107&lt;&gt;"",I107,IF(G107="","",IF(ROUND(MOD(G107,1),1)&lt;=0.4,INT(G107)-1,INT(G107))))</f>
        <v/>
      </c>
      <c r="I107" s="56" t="n"/>
      <c r="J107" s="57">
        <f>IF(H107="","",IF(LOWER(A107)="gl",H107-2,IF(H107&gt;=60,H107-5,IF(AND(H107&gt;=50,H107&lt;60),H107-4,IF(AND(H107&gt;=10,H107&lt;50),H107-3,H107)))))</f>
        <v/>
      </c>
      <c r="K107" s="57" t="n"/>
    </row>
    <row r="108" ht="15" customHeight="1">
      <c r="A108" s="2" t="n"/>
      <c r="B108" s="2" t="n">
        <v>105</v>
      </c>
      <c r="C108" s="3" t="n"/>
      <c r="D108" s="3" t="n"/>
      <c r="E108" s="2" t="n">
        <v>68</v>
      </c>
      <c r="F108" s="5">
        <f>IF(E108="","",E108*1000)</f>
        <v/>
      </c>
      <c r="G108" s="23" t="n">
        <v>48.8</v>
      </c>
      <c r="H108" s="56">
        <f>IF(I108&lt;&gt;"",I108,IF(G108="","",IF(ROUND(MOD(G108,1),1)&lt;=0.4,INT(G108)-1,INT(G108))))</f>
        <v/>
      </c>
      <c r="I108" s="56" t="n"/>
      <c r="J108" s="57">
        <f>IF(H108="","",IF(LOWER(A108)="gl",H108-2,IF(H108&gt;=60,H108-5,IF(AND(H108&gt;=50,H108&lt;60),H108-4,IF(AND(H108&gt;=10,H108&lt;50),H108-3,H108)))))</f>
        <v/>
      </c>
      <c r="K108" s="57" t="n"/>
    </row>
    <row r="109" ht="15" customHeight="1">
      <c r="A109" s="2" t="n"/>
      <c r="B109" s="2" t="n">
        <v>106</v>
      </c>
      <c r="C109" s="3" t="n"/>
      <c r="D109" s="3" t="n"/>
      <c r="E109" s="2" t="n">
        <v>68</v>
      </c>
      <c r="F109" s="5">
        <f>IF(E109="","",E109*1000)</f>
        <v/>
      </c>
      <c r="G109" s="23" t="n">
        <v>49.1</v>
      </c>
      <c r="H109" s="56">
        <f>IF(I109&lt;&gt;"",I109,IF(G109="","",IF(ROUND(MOD(G109,1),1)&lt;=0.4,INT(G109)-1,INT(G109))))</f>
        <v/>
      </c>
      <c r="I109" s="56" t="n"/>
      <c r="J109" s="57">
        <f>IF(H109="","",IF(LOWER(A109)="gl",H109-2,IF(H109&gt;=60,H109-5,IF(AND(H109&gt;=50,H109&lt;60),H109-4,IF(AND(H109&gt;=10,H109&lt;50),H109-3,H109)))))</f>
        <v/>
      </c>
      <c r="K109" s="57" t="n"/>
    </row>
    <row r="110" ht="15" customHeight="1">
      <c r="A110" s="2" t="n"/>
      <c r="B110" s="2" t="n">
        <v>107</v>
      </c>
      <c r="C110" s="3" t="n"/>
      <c r="D110" s="3" t="n"/>
      <c r="E110" s="2" t="n">
        <v>68</v>
      </c>
      <c r="F110" s="5">
        <f>IF(E110="","",E110*1000)</f>
        <v/>
      </c>
      <c r="G110" s="23" t="n">
        <v>50.2</v>
      </c>
      <c r="H110" s="56">
        <f>IF(I110&lt;&gt;"",I110,IF(G110="","",IF(ROUND(MOD(G110,1),1)&lt;=0.4,INT(G110)-1,INT(G110))))</f>
        <v/>
      </c>
      <c r="I110" s="56" t="n"/>
      <c r="J110" s="57">
        <f>IF(H110="","",IF(LOWER(A110)="gl",H110-2,IF(H110&gt;=60,H110-5,IF(AND(H110&gt;=50,H110&lt;60),H110-4,IF(AND(H110&gt;=10,H110&lt;50),H110-3,H110)))))</f>
        <v/>
      </c>
      <c r="K110" s="57" t="n"/>
    </row>
    <row r="111" ht="15" customHeight="1">
      <c r="A111" s="2" t="n"/>
      <c r="B111" s="2" t="n">
        <v>108</v>
      </c>
      <c r="C111" s="3" t="n"/>
      <c r="D111" s="3" t="n"/>
      <c r="E111" s="2" t="n">
        <v>68</v>
      </c>
      <c r="F111" s="5">
        <f>IF(E111="","",E111*1000)</f>
        <v/>
      </c>
      <c r="G111" s="23" t="n">
        <v>64.5</v>
      </c>
      <c r="H111" s="56">
        <f>IF(I111&lt;&gt;"",I111,IF(G111="","",IF(ROUND(MOD(G111,1),1)&lt;=0.4,INT(G111)-1,INT(G111))))</f>
        <v/>
      </c>
      <c r="I111" s="56" t="n"/>
      <c r="J111" s="57">
        <f>IF(H111="","",IF(LOWER(A111)="gl",H111-2,IF(H111&gt;=60,H111-5,IF(AND(H111&gt;=50,H111&lt;60),H111-4,IF(AND(H111&gt;=10,H111&lt;50),H111-3,H111)))))</f>
        <v/>
      </c>
      <c r="K111" s="57" t="n"/>
    </row>
    <row r="112" ht="15" customHeight="1">
      <c r="A112" s="2" t="n"/>
      <c r="B112" s="2" t="n">
        <v>109</v>
      </c>
      <c r="C112" s="3" t="n"/>
      <c r="D112" s="3" t="n"/>
      <c r="E112" s="2" t="n">
        <v>68</v>
      </c>
      <c r="F112" s="5">
        <f>IF(E112="","",E112*1000)</f>
        <v/>
      </c>
      <c r="G112" s="23" t="n">
        <v>37.6</v>
      </c>
      <c r="H112" s="56">
        <f>IF(I112&lt;&gt;"",I112,IF(G112="","",IF(ROUND(MOD(G112,1),1)&lt;=0.4,INT(G112)-1,INT(G112))))</f>
        <v/>
      </c>
      <c r="I112" s="56" t="n"/>
      <c r="J112" s="57">
        <f>IF(H112="","",IF(LOWER(A112)="gl",H112-2,IF(H112&gt;=60,H112-5,IF(AND(H112&gt;=50,H112&lt;60),H112-4,IF(AND(H112&gt;=10,H112&lt;50),H112-3,H112)))))</f>
        <v/>
      </c>
      <c r="K112" s="57" t="n"/>
    </row>
    <row r="113" ht="15" customHeight="1">
      <c r="A113" s="2" t="n"/>
      <c r="B113" s="2" t="n">
        <v>110</v>
      </c>
      <c r="C113" s="3" t="inlineStr">
        <is>
          <t>GT</t>
        </is>
      </c>
      <c r="D113" s="3" t="n"/>
      <c r="E113" s="2" t="n">
        <v>66</v>
      </c>
      <c r="F113" s="5">
        <f>IF(E113="","",E113*1000)</f>
        <v/>
      </c>
      <c r="G113" s="23" t="n">
        <v>38.1</v>
      </c>
      <c r="H113" s="56">
        <f>IF(I113&lt;&gt;"",I113,IF(G113="","",IF(ROUND(MOD(G113,1),1)&lt;=0.4,INT(G113)-1,INT(G113))))</f>
        <v/>
      </c>
      <c r="I113" s="56" t="n"/>
      <c r="J113" s="57">
        <f>IF(H113="","",IF(LOWER(A113)="gl",H113-2,IF(H113&gt;=60,H113-5,IF(AND(H113&gt;=50,H113&lt;60),H113-4,IF(AND(H113&gt;=10,H113&lt;50),H113-3,H113)))))</f>
        <v/>
      </c>
      <c r="K113" s="57" t="n"/>
    </row>
    <row r="114" ht="15" customHeight="1">
      <c r="A114" s="2" t="n"/>
      <c r="B114" s="2" t="n">
        <v>111</v>
      </c>
      <c r="C114" s="3" t="inlineStr">
        <is>
          <t>GT</t>
        </is>
      </c>
      <c r="D114" s="3" t="n"/>
      <c r="E114" s="2" t="n">
        <v>66</v>
      </c>
      <c r="F114" s="5">
        <f>IF(E114="","",E114*1000)</f>
        <v/>
      </c>
      <c r="G114" s="23" t="n">
        <v>45.2</v>
      </c>
      <c r="H114" s="56">
        <f>IF(I114&lt;&gt;"",I114,IF(G114="","",IF(ROUND(MOD(G114,1),1)&lt;=0.4,INT(G114)-1,INT(G114))))</f>
        <v/>
      </c>
      <c r="I114" s="56" t="n"/>
      <c r="J114" s="57">
        <f>IF(H114="","",IF(LOWER(A114)="gl",H114-2,IF(H114&gt;=60,H114-5,IF(AND(H114&gt;=50,H114&lt;60),H114-4,IF(AND(H114&gt;=10,H114&lt;50),H114-3,H114)))))</f>
        <v/>
      </c>
      <c r="K114" s="57" t="n"/>
    </row>
    <row r="115" ht="15" customHeight="1">
      <c r="A115" s="2" t="n"/>
      <c r="B115" s="2" t="n">
        <v>112</v>
      </c>
      <c r="C115" s="3" t="n"/>
      <c r="D115" s="3" t="n"/>
      <c r="E115" s="2" t="n">
        <v>66</v>
      </c>
      <c r="F115" s="5">
        <f>IF(E115="","",E115*1000)</f>
        <v/>
      </c>
      <c r="G115" s="23" t="n">
        <v>45.7</v>
      </c>
      <c r="H115" s="56">
        <f>IF(I115&lt;&gt;"",I115,IF(G115="","",IF(ROUND(MOD(G115,1),1)&lt;=0.4,INT(G115)-1,INT(G115))))</f>
        <v/>
      </c>
      <c r="I115" s="56" t="n"/>
      <c r="J115" s="57">
        <f>IF(H115="","",IF(LOWER(A115)="gl",H115-2,IF(H115&gt;=60,H115-5,IF(AND(H115&gt;=50,H115&lt;60),H115-4,IF(AND(H115&gt;=10,H115&lt;50),H115-3,H115)))))</f>
        <v/>
      </c>
      <c r="K115" s="57" t="n"/>
    </row>
    <row r="116" ht="15" customHeight="1">
      <c r="A116" s="2" t="n"/>
      <c r="B116" s="2" t="n">
        <v>113</v>
      </c>
      <c r="C116" s="3" t="inlineStr">
        <is>
          <t>GT</t>
        </is>
      </c>
      <c r="D116" s="3" t="n"/>
      <c r="E116" s="2" t="n">
        <v>68</v>
      </c>
      <c r="F116" s="5">
        <f>IF(E116="","",E116*1000)</f>
        <v/>
      </c>
      <c r="G116" s="23" t="n">
        <v>46.6</v>
      </c>
      <c r="H116" s="56">
        <f>IF(I116&lt;&gt;"",I116,IF(G116="","",IF(ROUND(MOD(G116,1),1)&lt;=0.4,INT(G116)-1,INT(G116))))</f>
        <v/>
      </c>
      <c r="I116" s="56" t="n"/>
      <c r="J116" s="57">
        <f>IF(H116="","",IF(LOWER(A116)="gl",H116-2,IF(H116&gt;=60,H116-5,IF(AND(H116&gt;=50,H116&lt;60),H116-4,IF(AND(H116&gt;=10,H116&lt;50),H116-3,H116)))))</f>
        <v/>
      </c>
      <c r="K116" s="57" t="n"/>
    </row>
    <row r="117" ht="15" customHeight="1">
      <c r="A117" s="2" t="n"/>
      <c r="B117" s="2" t="n">
        <v>114</v>
      </c>
      <c r="C117" s="3" t="n"/>
      <c r="D117" s="3" t="n"/>
      <c r="E117" s="2" t="n">
        <v>68</v>
      </c>
      <c r="F117" s="5">
        <f>IF(E117="","",E117*1000)</f>
        <v/>
      </c>
      <c r="G117" s="23" t="n">
        <v>44.6</v>
      </c>
      <c r="H117" s="56">
        <f>IF(I117&lt;&gt;"",I117,IF(G117="","",IF(ROUND(MOD(G117,1),1)&lt;=0.4,INT(G117)-1,INT(G117))))</f>
        <v/>
      </c>
      <c r="I117" s="56" t="n"/>
      <c r="J117" s="57">
        <f>IF(H117="","",IF(LOWER(A117)="gl",H117-2,IF(H117&gt;=60,H117-5,IF(AND(H117&gt;=50,H117&lt;60),H117-4,IF(AND(H117&gt;=10,H117&lt;50),H117-3,H117)))))</f>
        <v/>
      </c>
      <c r="K117" s="57" t="n"/>
    </row>
    <row r="118" ht="15" customHeight="1">
      <c r="A118" s="2" t="n"/>
      <c r="B118" s="2" t="n">
        <v>115</v>
      </c>
      <c r="C118" s="3" t="n"/>
      <c r="D118" s="3" t="n"/>
      <c r="E118" s="2" t="n">
        <v>68</v>
      </c>
      <c r="F118" s="5">
        <f>IF(E118="","",E118*1000)</f>
        <v/>
      </c>
      <c r="G118" s="23" t="n">
        <v>45.6</v>
      </c>
      <c r="H118" s="56">
        <f>IF(I118&lt;&gt;"",I118,IF(G118="","",IF(ROUND(MOD(G118,1),1)&lt;=0.4,INT(G118)-1,INT(G118))))</f>
        <v/>
      </c>
      <c r="I118" s="56" t="n"/>
      <c r="J118" s="57">
        <f>IF(H118="","",IF(LOWER(A118)="gl",H118-2,IF(H118&gt;=60,H118-5,IF(AND(H118&gt;=50,H118&lt;60),H118-4,IF(AND(H118&gt;=10,H118&lt;50),H118-3,H118)))))</f>
        <v/>
      </c>
      <c r="K118" s="57" t="n"/>
    </row>
    <row r="119" ht="15" customHeight="1">
      <c r="A119" s="2" t="n"/>
      <c r="B119" s="2" t="n">
        <v>116</v>
      </c>
      <c r="C119" s="3" t="n"/>
      <c r="D119" s="3" t="n"/>
      <c r="E119" s="2" t="n">
        <v>68</v>
      </c>
      <c r="F119" s="5">
        <f>IF(E119="","",E119*1000)</f>
        <v/>
      </c>
      <c r="G119" s="23" t="n">
        <v>43.1</v>
      </c>
      <c r="H119" s="56">
        <f>IF(I119&lt;&gt;"",I119,IF(G119="","",IF(ROUND(MOD(G119,1),1)&lt;=0.4,INT(G119)-1,INT(G119))))</f>
        <v/>
      </c>
      <c r="I119" s="56" t="n"/>
      <c r="J119" s="57">
        <f>IF(H119="","",IF(LOWER(A119)="gl",H119-2,IF(H119&gt;=60,H119-5,IF(AND(H119&gt;=50,H119&lt;60),H119-4,IF(AND(H119&gt;=10,H119&lt;50),H119-3,H119)))))</f>
        <v/>
      </c>
      <c r="K119" s="57" t="n"/>
    </row>
    <row r="120" ht="15" customHeight="1">
      <c r="A120" s="2" t="n"/>
      <c r="B120" s="2" t="n">
        <v>117</v>
      </c>
      <c r="C120" s="3" t="n"/>
      <c r="D120" s="3" t="n"/>
      <c r="E120" s="2" t="n">
        <v>65</v>
      </c>
      <c r="F120" s="5">
        <f>IF(E120="","",E120*1000)</f>
        <v/>
      </c>
      <c r="G120" s="23" t="n">
        <v>63.6</v>
      </c>
      <c r="H120" s="56">
        <f>IF(I120&lt;&gt;"",I120,IF(G120="","",IF(ROUND(MOD(G120,1),1)&lt;=0.4,INT(G120)-1,INT(G120))))</f>
        <v/>
      </c>
      <c r="I120" s="56" t="n"/>
      <c r="J120" s="57">
        <f>IF(H120="","",IF(LOWER(A120)="gl",H120-2,IF(H120&gt;=60,H120-5,IF(AND(H120&gt;=50,H120&lt;60),H120-4,IF(AND(H120&gt;=10,H120&lt;50),H120-3,H120)))))</f>
        <v/>
      </c>
      <c r="K120" s="57" t="n"/>
    </row>
    <row r="121" ht="15" customHeight="1">
      <c r="A121" s="2" t="n"/>
      <c r="B121" s="2" t="n">
        <v>118</v>
      </c>
      <c r="C121" s="3" t="n"/>
      <c r="D121" s="3" t="n"/>
      <c r="E121" s="2" t="n">
        <v>65</v>
      </c>
      <c r="F121" s="5">
        <f>IF(E121="","",E121*1000)</f>
        <v/>
      </c>
      <c r="G121" s="23" t="n">
        <v>52.2</v>
      </c>
      <c r="H121" s="56">
        <f>IF(I121&lt;&gt;"",I121,IF(G121="","",IF(ROUND(MOD(G121,1),1)&lt;=0.4,INT(G121)-1,INT(G121))))</f>
        <v/>
      </c>
      <c r="I121" s="56" t="n"/>
      <c r="J121" s="57">
        <f>IF(H121="","",IF(LOWER(A121)="gl",H121-2,IF(H121&gt;=60,H121-5,IF(AND(H121&gt;=50,H121&lt;60),H121-4,IF(AND(H121&gt;=10,H121&lt;50),H121-3,H121)))))</f>
        <v/>
      </c>
      <c r="K121" s="57" t="n"/>
    </row>
    <row r="122" ht="15" customHeight="1">
      <c r="A122" s="2" t="n"/>
      <c r="B122" s="2" t="n">
        <v>119</v>
      </c>
      <c r="C122" s="3" t="n"/>
      <c r="D122" s="3" t="n"/>
      <c r="E122" s="2" t="n">
        <v>65</v>
      </c>
      <c r="F122" s="5">
        <f>IF(E122="","",E122*1000)</f>
        <v/>
      </c>
      <c r="G122" s="23" t="n">
        <v>55.2</v>
      </c>
      <c r="H122" s="56">
        <f>IF(I122&lt;&gt;"",I122,IF(G122="","",IF(ROUND(MOD(G122,1),1)&lt;=0.4,INT(G122)-1,INT(G122))))</f>
        <v/>
      </c>
      <c r="I122" s="56" t="n"/>
      <c r="J122" s="57">
        <f>IF(H122="","",IF(LOWER(A122)="gl",H122-2,IF(H122&gt;=60,H122-5,IF(AND(H122&gt;=50,H122&lt;60),H122-4,IF(AND(H122&gt;=10,H122&lt;50),H122-3,H122)))))</f>
        <v/>
      </c>
      <c r="K122" s="57" t="n"/>
    </row>
    <row r="123" ht="15" customHeight="1" thickBot="1">
      <c r="A123" s="35" t="n"/>
      <c r="B123" s="35" t="n">
        <v>120</v>
      </c>
      <c r="C123" s="36" t="n"/>
      <c r="D123" s="36" t="n"/>
      <c r="E123" s="35" t="n">
        <v>68</v>
      </c>
      <c r="F123" s="37">
        <f>IF(E123="","",E123*1000)</f>
        <v/>
      </c>
      <c r="G123" s="34" t="n">
        <v>42.6</v>
      </c>
      <c r="H123" s="56">
        <f>IF(I123&lt;&gt;"",I123,IF(G123="","",IF(ROUND(MOD(G123,1),1)&lt;=0.4,INT(G123)-1,INT(G123))))</f>
        <v/>
      </c>
      <c r="I123" s="56" t="n"/>
      <c r="J123" s="57">
        <f>IF(H123="","",IF(LOWER(A123)="gl",H123-2,IF(H123&gt;=60,H123-5,IF(AND(H123&gt;=50,H123&lt;60),H123-4,IF(AND(H123&gt;=10,H123&lt;50),H123-3,H123)))))</f>
        <v/>
      </c>
      <c r="K123" s="57" t="n"/>
    </row>
    <row r="124" ht="15" customHeight="1">
      <c r="A124" s="10" t="n"/>
      <c r="B124" s="10" t="n">
        <v>121</v>
      </c>
      <c r="C124" s="11" t="n"/>
      <c r="D124" s="11" t="inlineStr">
        <is>
          <t xml:space="preserve">H. Hanan </t>
        </is>
      </c>
      <c r="E124" s="10" t="n">
        <v>68</v>
      </c>
      <c r="F124" s="13">
        <f>IF(E124="","",E124*1000)</f>
        <v/>
      </c>
      <c r="G124" s="23" t="n">
        <v>47.5</v>
      </c>
      <c r="H124" s="56">
        <f>IF(I124&lt;&gt;"",I124,IF(G124="","",IF(ROUND(MOD(G124,1),1)&lt;=0.4,INT(G124)-1,INT(G124))))</f>
        <v/>
      </c>
      <c r="I124" s="56" t="n"/>
      <c r="J124" s="57">
        <f>IF(H124="","",IF(LOWER(A124)="gl",H124-2,IF(H124&gt;=60,H124-5,IF(AND(H124&gt;=50,H124&lt;60),H124-4,IF(AND(H124&gt;=10,H124&lt;50),H124-3,H124)))))</f>
        <v/>
      </c>
      <c r="K124" s="57" t="n"/>
    </row>
    <row r="125" ht="15" customHeight="1">
      <c r="A125" s="2" t="n"/>
      <c r="B125" s="2" t="n">
        <v>122</v>
      </c>
      <c r="C125" s="3" t="n"/>
      <c r="D125" s="3" t="inlineStr">
        <is>
          <t>(9/8/26)</t>
        </is>
      </c>
      <c r="E125" s="2" t="n">
        <v>68</v>
      </c>
      <c r="F125" s="5">
        <f>IF(E125="","",E125*1000)</f>
        <v/>
      </c>
      <c r="G125" s="23" t="n">
        <v>46.5</v>
      </c>
      <c r="H125" s="56">
        <f>IF(I125&lt;&gt;"",I125,IF(G125="","",IF(ROUND(MOD(G125,1),1)&lt;=0.4,INT(G125)-1,INT(G125))))</f>
        <v/>
      </c>
      <c r="I125" s="56" t="n"/>
      <c r="J125" s="57">
        <f>IF(H125="","",IF(LOWER(A125)="gl",H125-2,IF(H125&gt;=60,H125-5,IF(AND(H125&gt;=50,H125&lt;60),H125-4,IF(AND(H125&gt;=10,H125&lt;50),H125-3,H125)))))</f>
        <v/>
      </c>
      <c r="K125" s="57" t="n"/>
    </row>
    <row r="126" ht="15" customHeight="1">
      <c r="A126" s="2" t="n"/>
      <c r="B126" s="2" t="n">
        <v>123</v>
      </c>
      <c r="C126" s="3" t="n"/>
      <c r="D126" s="3" t="inlineStr">
        <is>
          <t>GT</t>
        </is>
      </c>
      <c r="E126" s="2" t="n">
        <v>68</v>
      </c>
      <c r="F126" s="5">
        <f>IF(E126="","",E126*1000)</f>
        <v/>
      </c>
      <c r="G126" s="23" t="n">
        <v>45.4</v>
      </c>
      <c r="H126" s="56">
        <f>IF(I126&lt;&gt;"",I126,IF(G126="","",IF(ROUND(MOD(G126,1),1)&lt;=0.4,INT(G126)-1,INT(G126))))</f>
        <v/>
      </c>
      <c r="I126" s="56" t="n"/>
      <c r="J126" s="57">
        <f>IF(H126="","",IF(LOWER(A126)="gl",H126-2,IF(H126&gt;=60,H126-5,IF(AND(H126&gt;=50,H126&lt;60),H126-4,IF(AND(H126&gt;=10,H126&lt;50),H126-3,H126)))))</f>
        <v/>
      </c>
      <c r="K126" s="57" t="n"/>
    </row>
    <row r="127" ht="15" customHeight="1" thickBot="1">
      <c r="A127" s="35" t="n"/>
      <c r="B127" s="35" t="n">
        <v>124</v>
      </c>
      <c r="C127" s="36" t="n"/>
      <c r="D127" s="36" t="inlineStr">
        <is>
          <t>GT</t>
        </is>
      </c>
      <c r="E127" s="35" t="n">
        <v>68</v>
      </c>
      <c r="F127" s="37">
        <f>IF(E127="","",E127*1000)</f>
        <v/>
      </c>
      <c r="G127" s="34" t="n">
        <v>44.9</v>
      </c>
      <c r="H127" s="56">
        <f>IF(I127&lt;&gt;"",I127,IF(G127="","",IF(ROUND(MOD(G127,1),1)&lt;=0.4,INT(G127)-1,INT(G127))))</f>
        <v/>
      </c>
      <c r="I127" s="56" t="n"/>
      <c r="J127" s="57">
        <f>IF(H127="","",IF(LOWER(A127)="gl",H127-2,IF(H127&gt;=60,H127-5,IF(AND(H127&gt;=50,H127&lt;60),H127-4,IF(AND(H127&gt;=10,H127&lt;50),H127-3,H127)))))</f>
        <v/>
      </c>
      <c r="K127" s="57" t="n"/>
    </row>
    <row r="128" ht="15" customHeight="1">
      <c r="A128" s="10" t="inlineStr">
        <is>
          <t>gl</t>
        </is>
      </c>
      <c r="B128" s="10" t="n">
        <v>125</v>
      </c>
      <c r="C128" s="11" t="n"/>
      <c r="D128" s="11" t="inlineStr">
        <is>
          <t>AMIR</t>
        </is>
      </c>
      <c r="E128" s="10" t="n">
        <v>65</v>
      </c>
      <c r="F128" s="13">
        <f>IF(E128="","",E128*1000)</f>
        <v/>
      </c>
      <c r="G128" s="27" t="n">
        <v>40.4</v>
      </c>
      <c r="H128" s="56">
        <f>IF(I128&lt;&gt;"",I128,IF(G128="","",IF(ROUND(MOD(G128,1),1)&lt;=0.4,INT(G128)-1,INT(G128))))</f>
        <v/>
      </c>
      <c r="I128" s="56" t="n"/>
      <c r="J128" s="57">
        <f>IF(H128="","",IF(LOWER(A128)="gl",H128-2,IF(H128&gt;=60,H128-5,IF(AND(H128&gt;=50,H128&lt;60),H128-4,IF(AND(H128&gt;=10,H128&lt;50),H128-3,H128)))))</f>
        <v/>
      </c>
      <c r="K128" s="57" t="n"/>
    </row>
    <row r="129" ht="15" customHeight="1">
      <c r="A129" s="2" t="inlineStr">
        <is>
          <t>gl</t>
        </is>
      </c>
      <c r="B129" s="2" t="n">
        <v>126</v>
      </c>
      <c r="C129" s="3" t="n"/>
      <c r="D129" s="3" t="inlineStr">
        <is>
          <t>(10/8/26)</t>
        </is>
      </c>
      <c r="E129" s="2" t="n">
        <v>65</v>
      </c>
      <c r="F129" s="5">
        <f>IF(E129="","",E129*1000)</f>
        <v/>
      </c>
      <c r="G129" s="23" t="n">
        <v>30.5</v>
      </c>
      <c r="H129" s="56">
        <f>IF(I129&lt;&gt;"",I129,IF(G129="","",IF(ROUND(MOD(G129,1),1)&lt;=0.4,INT(G129)-1,INT(G129))))</f>
        <v/>
      </c>
      <c r="I129" s="56" t="n"/>
      <c r="J129" s="57">
        <f>IF(H129="","",IF(LOWER(A129)="gl",H129-2,IF(H129&gt;=60,H129-5,IF(AND(H129&gt;=50,H129&lt;60),H129-4,IF(AND(H129&gt;=10,H129&lt;50),H129-3,H129)))))</f>
        <v/>
      </c>
      <c r="K129" s="57" t="n"/>
    </row>
    <row r="130" ht="15" customHeight="1">
      <c r="A130" s="2" t="inlineStr">
        <is>
          <t>gl</t>
        </is>
      </c>
      <c r="B130" s="2" t="n">
        <v>127</v>
      </c>
      <c r="C130" s="3" t="n"/>
      <c r="D130" s="3" t="n"/>
      <c r="E130" s="2" t="n">
        <v>65</v>
      </c>
      <c r="F130" s="5">
        <f>IF(E130="","",E130*1000)</f>
        <v/>
      </c>
      <c r="G130" s="23" t="n">
        <v>38.5</v>
      </c>
      <c r="H130" s="56">
        <f>IF(I130&lt;&gt;"",I130,IF(G130="","",IF(ROUND(MOD(G130,1),1)&lt;=0.4,INT(G130)-1,INT(G130))))</f>
        <v/>
      </c>
      <c r="I130" s="56" t="n"/>
      <c r="J130" s="57">
        <f>IF(H130="","",IF(LOWER(A130)="gl",H130-2,IF(H130&gt;=60,H130-5,IF(AND(H130&gt;=50,H130&lt;60),H130-4,IF(AND(H130&gt;=10,H130&lt;50),H130-3,H130)))))</f>
        <v/>
      </c>
      <c r="K130" s="57" t="n"/>
    </row>
    <row r="131" ht="15" customHeight="1">
      <c r="A131" s="2" t="inlineStr">
        <is>
          <t>gl</t>
        </is>
      </c>
      <c r="B131" s="2" t="n">
        <v>128</v>
      </c>
      <c r="C131" s="3" t="n"/>
      <c r="D131" s="3" t="n"/>
      <c r="E131" s="2" t="n">
        <v>60</v>
      </c>
      <c r="F131" s="5">
        <f>IF(E131="","",E131*1000)</f>
        <v/>
      </c>
      <c r="G131" s="23" t="n">
        <v>47</v>
      </c>
      <c r="H131" s="56">
        <f>IF(I131&lt;&gt;"",I131,IF(G131="","",IF(ROUND(MOD(G131,1),1)&lt;=0.4,INT(G131)-1,INT(G131))))</f>
        <v/>
      </c>
      <c r="I131" s="56" t="n"/>
      <c r="J131" s="57">
        <f>IF(H131="","",IF(LOWER(A131)="gl",H131-2,IF(H131&gt;=60,H131-5,IF(AND(H131&gt;=50,H131&lt;60),H131-4,IF(AND(H131&gt;=10,H131&lt;50),H131-3,H131)))))</f>
        <v/>
      </c>
      <c r="K131" s="57" t="n"/>
    </row>
    <row r="132" ht="15" customHeight="1" thickBot="1">
      <c r="A132" s="35" t="inlineStr">
        <is>
          <t>gl</t>
        </is>
      </c>
      <c r="B132" s="35" t="n">
        <v>129</v>
      </c>
      <c r="C132" s="36" t="n"/>
      <c r="D132" s="36" t="n"/>
      <c r="E132" s="35" t="n">
        <v>60</v>
      </c>
      <c r="F132" s="37">
        <f>IF(E132="","",E132*1000)</f>
        <v/>
      </c>
      <c r="G132" s="34" t="n">
        <v>45.9</v>
      </c>
      <c r="H132" s="56">
        <f>IF(I132&lt;&gt;"",I132,IF(G132="","",IF(ROUND(MOD(G132,1),1)&lt;=0.4,INT(G132)-1,INT(G132))))</f>
        <v/>
      </c>
      <c r="I132" s="56" t="n"/>
      <c r="J132" s="57">
        <f>IF(H132="","",IF(LOWER(A132)="gl",H132-2,IF(H132&gt;=60,H132-5,IF(AND(H132&gt;=50,H132&lt;60),H132-4,IF(AND(H132&gt;=10,H132&lt;50),H132-3,H132)))))</f>
        <v/>
      </c>
      <c r="K132" s="57" t="n"/>
    </row>
    <row r="133" ht="15" customHeight="1">
      <c r="A133" s="10" t="inlineStr">
        <is>
          <t>gl</t>
        </is>
      </c>
      <c r="B133" s="10" t="n">
        <v>130</v>
      </c>
      <c r="C133" s="11" t="n"/>
      <c r="D133" s="11" t="inlineStr">
        <is>
          <t>H. MAHFUD</t>
        </is>
      </c>
      <c r="E133" s="10" t="n">
        <v>57</v>
      </c>
      <c r="F133" s="13">
        <f>IF(E133="","",E133*1000)</f>
        <v/>
      </c>
      <c r="G133" s="27" t="n">
        <v>45.9</v>
      </c>
      <c r="H133" s="56">
        <f>IF(I133&lt;&gt;"",I133,IF(G133="","",IF(ROUND(MOD(G133,1),1)&lt;=0.4,INT(G133)-1,INT(G133))))</f>
        <v/>
      </c>
      <c r="I133" s="56" t="n"/>
      <c r="J133" s="57">
        <f>IF(H133="","",IF(LOWER(A133)="gl",H133-2,IF(H133&gt;=60,H133-5,IF(AND(H133&gt;=50,H133&lt;60),H133-4,IF(AND(H133&gt;=10,H133&lt;50),H133-3,H133)))))</f>
        <v/>
      </c>
      <c r="K133" s="57" t="n"/>
    </row>
    <row r="134" ht="15" customHeight="1">
      <c r="A134" s="2" t="inlineStr">
        <is>
          <t>gl</t>
        </is>
      </c>
      <c r="B134" s="2" t="n">
        <v>131</v>
      </c>
      <c r="C134" s="3" t="n"/>
      <c r="D134" s="3" t="inlineStr">
        <is>
          <t>(10/8/26)</t>
        </is>
      </c>
      <c r="E134" s="2" t="n">
        <v>61</v>
      </c>
      <c r="F134" s="5">
        <f>IF(E134="","",E134*1000)</f>
        <v/>
      </c>
      <c r="G134" s="23" t="n">
        <v>42.4</v>
      </c>
      <c r="H134" s="56">
        <f>IF(I134&lt;&gt;"",I134,IF(G134="","",IF(ROUND(MOD(G134,1),1)&lt;=0.4,INT(G134)-1,INT(G134))))</f>
        <v/>
      </c>
      <c r="I134" s="56" t="n"/>
      <c r="J134" s="57">
        <f>IF(H134="","",IF(LOWER(A134)="gl",H134-2,IF(H134&gt;=60,H134-5,IF(AND(H134&gt;=50,H134&lt;60),H134-4,IF(AND(H134&gt;=10,H134&lt;50),H134-3,H134)))))</f>
        <v/>
      </c>
      <c r="K134" s="57" t="n"/>
    </row>
    <row r="135" ht="15" customHeight="1">
      <c r="A135" s="2" t="inlineStr">
        <is>
          <t>gl</t>
        </is>
      </c>
      <c r="B135" s="2" t="n">
        <v>132</v>
      </c>
      <c r="C135" s="3" t="n"/>
      <c r="D135" s="3" t="inlineStr">
        <is>
          <t>Pegantenan</t>
        </is>
      </c>
      <c r="E135" s="2" t="n">
        <v>52</v>
      </c>
      <c r="F135" s="5">
        <f>IF(E135="","",E135*1000)</f>
        <v/>
      </c>
      <c r="G135" s="23" t="n">
        <v>40.1</v>
      </c>
      <c r="H135" s="56">
        <f>IF(I135&lt;&gt;"",I135,IF(G135="","",IF(ROUND(MOD(G135,1),1)&lt;=0.4,INT(G135)-1,INT(G135))))</f>
        <v/>
      </c>
      <c r="I135" s="56" t="n"/>
      <c r="J135" s="57">
        <f>IF(H135="","",IF(LOWER(A135)="gl",H135-2,IF(H135&gt;=60,H135-5,IF(AND(H135&gt;=50,H135&lt;60),H135-4,IF(AND(H135&gt;=10,H135&lt;50),H135-3,H135)))))</f>
        <v/>
      </c>
      <c r="K135" s="57" t="n"/>
    </row>
    <row r="136" ht="15" customHeight="1">
      <c r="A136" s="2" t="inlineStr">
        <is>
          <t>gl</t>
        </is>
      </c>
      <c r="B136" s="2" t="n">
        <v>133</v>
      </c>
      <c r="C136" s="3" t="n"/>
      <c r="D136" s="3" t="n"/>
      <c r="E136" s="2" t="n">
        <v>53</v>
      </c>
      <c r="F136" s="5">
        <f>IF(E136="","",E136*1000)</f>
        <v/>
      </c>
      <c r="G136" s="23" t="n">
        <v>41.1</v>
      </c>
      <c r="H136" s="56">
        <f>IF(I136&lt;&gt;"",I136,IF(G136="","",IF(ROUND(MOD(G136,1),1)&lt;=0.4,INT(G136)-1,INT(G136))))</f>
        <v/>
      </c>
      <c r="I136" s="56" t="n"/>
      <c r="J136" s="57">
        <f>IF(H136="","",IF(LOWER(A136)="gl",H136-2,IF(H136&gt;=60,H136-5,IF(AND(H136&gt;=50,H136&lt;60),H136-4,IF(AND(H136&gt;=10,H136&lt;50),H136-3,H136)))))</f>
        <v/>
      </c>
      <c r="K136" s="57" t="n"/>
    </row>
    <row r="137" ht="15" customHeight="1">
      <c r="A137" s="2" t="inlineStr">
        <is>
          <t>gl</t>
        </is>
      </c>
      <c r="B137" s="2" t="n">
        <v>134</v>
      </c>
      <c r="C137" s="3" t="n"/>
      <c r="D137" s="3" t="n"/>
      <c r="E137" s="2" t="n">
        <v>45</v>
      </c>
      <c r="F137" s="5">
        <f>IF(E137="","",E137*1000)</f>
        <v/>
      </c>
      <c r="G137" s="23" t="n">
        <v>28.3</v>
      </c>
      <c r="H137" s="56">
        <f>IF(I137&lt;&gt;"",I137,IF(G137="","",IF(ROUND(MOD(G137,1),1)&lt;=0.4,INT(G137)-1,INT(G137))))</f>
        <v/>
      </c>
      <c r="I137" s="56" t="n"/>
      <c r="J137" s="57">
        <f>IF(H137="","",IF(LOWER(A137)="gl",H137-2,IF(H137&gt;=60,H137-5,IF(AND(H137&gt;=50,H137&lt;60),H137-4,IF(AND(H137&gt;=10,H137&lt;50),H137-3,H137)))))</f>
        <v/>
      </c>
      <c r="K137" s="57" t="n"/>
    </row>
    <row r="138" ht="15" customHeight="1">
      <c r="A138" s="2" t="inlineStr">
        <is>
          <t>gl</t>
        </is>
      </c>
      <c r="B138" s="2" t="n">
        <v>135</v>
      </c>
      <c r="C138" s="3" t="n"/>
      <c r="D138" s="11" t="n"/>
      <c r="E138" s="10" t="n">
        <v>45</v>
      </c>
      <c r="F138" s="13">
        <f>IF(E138="","",E138*1000)</f>
        <v/>
      </c>
      <c r="G138" s="23" t="n">
        <v>28.7</v>
      </c>
      <c r="H138" s="56">
        <f>IF(I138&lt;&gt;"",I138,IF(G138="","",IF(ROUND(MOD(G138,1),1)&lt;=0.4,INT(G138)-1,INT(G138))))</f>
        <v/>
      </c>
      <c r="I138" s="56" t="n"/>
      <c r="J138" s="57">
        <f>IF(H138="","",IF(LOWER(A138)="gl",H138-2,IF(H138&gt;=60,H138-5,IF(AND(H138&gt;=50,H138&lt;60),H138-4,IF(AND(H138&gt;=10,H138&lt;50),H138-3,H138)))))</f>
        <v/>
      </c>
      <c r="K138" s="57" t="n"/>
    </row>
    <row r="139" ht="15" customHeight="1">
      <c r="A139" s="2" t="inlineStr">
        <is>
          <t>gl</t>
        </is>
      </c>
      <c r="B139" s="2" t="n">
        <v>136</v>
      </c>
      <c r="C139" s="3" t="n"/>
      <c r="D139" s="3" t="n"/>
      <c r="E139" s="2" t="n">
        <v>37</v>
      </c>
      <c r="F139" s="5">
        <f>IF(E139="","",E139*1000)</f>
        <v/>
      </c>
      <c r="G139" s="23" t="n">
        <v>47.3</v>
      </c>
      <c r="H139" s="56">
        <f>IF(I139&lt;&gt;"",I139,IF(G139="","",IF(ROUND(MOD(G139,1),1)&lt;=0.4,INT(G139)-1,INT(G139))))</f>
        <v/>
      </c>
      <c r="I139" s="56" t="n"/>
      <c r="J139" s="57">
        <f>IF(H139="","",IF(LOWER(A139)="gl",H139-2,IF(H139&gt;=60,H139-5,IF(AND(H139&gt;=50,H139&lt;60),H139-4,IF(AND(H139&gt;=10,H139&lt;50),H139-3,H139)))))</f>
        <v/>
      </c>
      <c r="K139" s="57" t="n"/>
    </row>
    <row r="140" ht="15" customHeight="1" thickBot="1">
      <c r="A140" s="35" t="inlineStr">
        <is>
          <t>gl</t>
        </is>
      </c>
      <c r="B140" s="35" t="n">
        <v>137</v>
      </c>
      <c r="C140" s="36" t="n"/>
      <c r="D140" s="36" t="n"/>
      <c r="E140" s="35" t="n">
        <v>42</v>
      </c>
      <c r="F140" s="37">
        <f>IF(E140="","",E140*1000)</f>
        <v/>
      </c>
      <c r="G140" s="34" t="n">
        <v>28.2</v>
      </c>
      <c r="H140" s="56">
        <f>IF(I140&lt;&gt;"",I140,IF(G140="","",IF(ROUND(MOD(G140,1),1)&lt;=0.4,INT(G140)-1,INT(G140))))</f>
        <v/>
      </c>
      <c r="I140" s="56" t="n"/>
      <c r="J140" s="57">
        <f>IF(H140="","",IF(LOWER(A140)="gl",H140-2,IF(H140&gt;=60,H140-5,IF(AND(H140&gt;=50,H140&lt;60),H140-4,IF(AND(H140&gt;=10,H140&lt;50),H140-3,H140)))))</f>
        <v/>
      </c>
      <c r="K140" s="57" t="n"/>
    </row>
    <row r="141" ht="15" customHeight="1">
      <c r="A141" s="10" t="inlineStr">
        <is>
          <t>gl</t>
        </is>
      </c>
      <c r="B141" s="10" t="n">
        <v>138</v>
      </c>
      <c r="C141" s="11" t="n"/>
      <c r="D141" s="11" t="inlineStr">
        <is>
          <t>AMIR</t>
        </is>
      </c>
      <c r="E141" s="10" t="n">
        <v>62</v>
      </c>
      <c r="F141" s="13">
        <f>IF(E141="","",E141*1000)</f>
        <v/>
      </c>
      <c r="G141" s="27" t="n">
        <v>48.8</v>
      </c>
      <c r="H141" s="56">
        <f>IF(I141&lt;&gt;"",I141,IF(G141="","",IF(ROUND(MOD(G141,1),1)&lt;=0.4,INT(G141)-1,INT(G141))))</f>
        <v/>
      </c>
      <c r="I141" s="56" t="n"/>
      <c r="J141" s="57">
        <f>IF(H141="","",IF(LOWER(A141)="gl",H141-2,IF(H141&gt;=60,H141-5,IF(AND(H141&gt;=50,H141&lt;60),H141-4,IF(AND(H141&gt;=10,H141&lt;50),H141-3,H141)))))</f>
        <v/>
      </c>
      <c r="K141" s="57" t="n"/>
    </row>
    <row r="142" ht="15" customHeight="1">
      <c r="A142" s="2" t="inlineStr">
        <is>
          <t>gl</t>
        </is>
      </c>
      <c r="B142" s="2" t="n">
        <v>139</v>
      </c>
      <c r="C142" s="3" t="n"/>
      <c r="D142" s="3" t="inlineStr">
        <is>
          <t>(10/8/26)</t>
        </is>
      </c>
      <c r="E142" s="2" t="n">
        <v>62</v>
      </c>
      <c r="F142" s="5">
        <f>IF(E142="","",E142*1000)</f>
        <v/>
      </c>
      <c r="G142" s="23" t="n">
        <v>50.3</v>
      </c>
      <c r="H142" s="56">
        <f>IF(I142&lt;&gt;"",I142,IF(G142="","",IF(ROUND(MOD(G142,1),1)&lt;=0.4,INT(G142)-1,INT(G142))))</f>
        <v/>
      </c>
      <c r="I142" s="56" t="n"/>
      <c r="J142" s="57">
        <f>IF(H142="","",IF(LOWER(A142)="gl",H142-2,IF(H142&gt;=60,H142-5,IF(AND(H142&gt;=50,H142&lt;60),H142-4,IF(AND(H142&gt;=10,H142&lt;50),H142-3,H142)))))</f>
        <v/>
      </c>
      <c r="K142" s="57" t="n"/>
    </row>
    <row r="143" ht="15" customHeight="1">
      <c r="A143" s="2" t="inlineStr">
        <is>
          <t>gl</t>
        </is>
      </c>
      <c r="B143" s="2" t="n">
        <v>140</v>
      </c>
      <c r="C143" s="3" t="n"/>
      <c r="D143" s="3" t="n"/>
      <c r="E143" s="2" t="n">
        <v>62</v>
      </c>
      <c r="F143" s="5">
        <f>IF(E143="","",E143*1000)</f>
        <v/>
      </c>
      <c r="G143" s="23" t="n">
        <v>49.2</v>
      </c>
      <c r="H143" s="56">
        <f>IF(I143&lt;&gt;"",I143,IF(G143="","",IF(ROUND(MOD(G143,1),1)&lt;=0.4,INT(G143)-1,INT(G143))))</f>
        <v/>
      </c>
      <c r="I143" s="56" t="n"/>
      <c r="J143" s="57">
        <f>IF(H143="","",IF(LOWER(A143)="gl",H143-2,IF(H143&gt;=60,H143-5,IF(AND(H143&gt;=50,H143&lt;60),H143-4,IF(AND(H143&gt;=10,H143&lt;50),H143-3,H143)))))</f>
        <v/>
      </c>
      <c r="K143" s="57" t="n"/>
    </row>
    <row r="144" ht="15" customHeight="1" thickBot="1">
      <c r="A144" s="35" t="inlineStr">
        <is>
          <t>gl</t>
        </is>
      </c>
      <c r="B144" s="35" t="n">
        <v>141</v>
      </c>
      <c r="C144" s="36" t="n"/>
      <c r="D144" s="36" t="n"/>
      <c r="E144" s="35" t="n">
        <v>62</v>
      </c>
      <c r="F144" s="37">
        <f>IF(E144="","",E144*1000)</f>
        <v/>
      </c>
      <c r="G144" s="34" t="n">
        <v>51.2</v>
      </c>
      <c r="H144" s="56">
        <f>IF(I144&lt;&gt;"",I144,IF(G144="","",IF(ROUND(MOD(G144,1),1)&lt;=0.4,INT(G144)-1,INT(G144))))</f>
        <v/>
      </c>
      <c r="I144" s="56" t="n"/>
      <c r="J144" s="57">
        <f>IF(H144="","",IF(LOWER(A144)="gl",H144-2,IF(H144&gt;=60,H144-5,IF(AND(H144&gt;=50,H144&lt;60),H144-4,IF(AND(H144&gt;=10,H144&lt;50),H144-3,H144)))))</f>
        <v/>
      </c>
      <c r="K144" s="57" t="n"/>
    </row>
    <row r="145" ht="15" customHeight="1">
      <c r="A145" s="10" t="inlineStr">
        <is>
          <t>gl</t>
        </is>
      </c>
      <c r="B145" s="10" t="n">
        <v>142</v>
      </c>
      <c r="C145" s="11" t="n"/>
      <c r="D145" s="11" t="inlineStr">
        <is>
          <t>BAHRUDDIN</t>
        </is>
      </c>
      <c r="E145" s="10" t="n">
        <v>40</v>
      </c>
      <c r="F145" s="13">
        <f>IF(E145="","",E145*1000)</f>
        <v/>
      </c>
      <c r="G145" s="27" t="n">
        <v>38.3</v>
      </c>
      <c r="H145" s="56">
        <f>IF(I145&lt;&gt;"",I145,IF(G145="","",IF(ROUND(MOD(G145,1),1)&lt;=0.4,INT(G145)-1,INT(G145))))</f>
        <v/>
      </c>
      <c r="I145" s="56" t="n"/>
      <c r="J145" s="57">
        <f>IF(H145="","",IF(LOWER(A145)="gl",H145-2,IF(H145&gt;=60,H145-5,IF(AND(H145&gt;=50,H145&lt;60),H145-4,IF(AND(H145&gt;=10,H145&lt;50),H145-3,H145)))))</f>
        <v/>
      </c>
      <c r="K145" s="57" t="inlineStr">
        <is>
          <t>ada bs</t>
        </is>
      </c>
      <c r="L145" s="2" t="inlineStr">
        <is>
          <t>bs</t>
        </is>
      </c>
      <c r="M145" s="3" t="n"/>
      <c r="N145" s="2" t="n">
        <v>20</v>
      </c>
      <c r="O145" s="5">
        <f>IF(N145="","",N145*1000)</f>
        <v/>
      </c>
      <c r="P145" s="23" t="n">
        <v>65.2</v>
      </c>
      <c r="Q145" s="7">
        <f>IF(P145="","",IF(AND(ROUND(MOD(P145,1),1)&gt;0,ROUND(MOD(P145,1),1)&lt;=0.3),INT(P145)-1,INT(P145)))</f>
        <v/>
      </c>
      <c r="R145" s="7">
        <f>IF(Q145="","",IF(LOWER(K145)="gl",Q145-2,IF(Q145&gt;=60,Q145-5,IF(AND(Q145&gt;=50,Q145&lt;60),Q145-4,IF(AND(Q145&gt;=10,Q145&lt;50),Q145-3,Q145)))))</f>
        <v/>
      </c>
    </row>
    <row r="146" ht="15" customHeight="1">
      <c r="A146" s="2" t="inlineStr">
        <is>
          <t>gl</t>
        </is>
      </c>
      <c r="B146" s="2" t="n">
        <v>143</v>
      </c>
      <c r="C146" s="3" t="n"/>
      <c r="D146" s="3" t="n"/>
      <c r="E146" s="2" t="n">
        <v>40</v>
      </c>
      <c r="F146" s="5">
        <f>IF(E146="","",E146*1000)</f>
        <v/>
      </c>
      <c r="G146" s="23" t="n">
        <v>41.7</v>
      </c>
      <c r="H146" s="56">
        <f>IF(I146&lt;&gt;"",I146,IF(G146="","",IF(ROUND(MOD(G146,1),1)&lt;=0.4,INT(G146)-1,INT(G146))))</f>
        <v/>
      </c>
      <c r="I146" s="56" t="n"/>
      <c r="J146" s="57">
        <f>IF(H146="","",IF(LOWER(A146)="gl",H146-2,IF(H146&gt;=60,H146-5,IF(AND(H146&gt;=50,H146&lt;60),H146-4,IF(AND(H146&gt;=10,H146&lt;50),H146-3,H146)))))</f>
        <v/>
      </c>
      <c r="K146" s="57" t="n"/>
    </row>
    <row r="147" ht="15" customHeight="1">
      <c r="A147" s="2" t="inlineStr">
        <is>
          <t>gl</t>
        </is>
      </c>
      <c r="B147" s="2" t="n">
        <v>144</v>
      </c>
      <c r="C147" s="3" t="n"/>
      <c r="D147" s="3" t="n"/>
      <c r="E147" s="2" t="n">
        <v>41</v>
      </c>
      <c r="F147" s="5">
        <f>IF(E147="","",E147*1000)</f>
        <v/>
      </c>
      <c r="G147" s="23" t="n">
        <v>49.8</v>
      </c>
      <c r="H147" s="56">
        <f>IF(I147&lt;&gt;"",I147,IF(G147="","",IF(ROUND(MOD(G147,1),1)&lt;=0.4,INT(G147)-1,INT(G147))))</f>
        <v/>
      </c>
      <c r="I147" s="56" t="n"/>
      <c r="J147" s="57">
        <f>IF(H147="","",IF(LOWER(A147)="gl",H147-2,IF(H147&gt;=60,H147-5,IF(AND(H147&gt;=50,H147&lt;60),H147-4,IF(AND(H147&gt;=10,H147&lt;50),H147-3,H147)))))</f>
        <v/>
      </c>
      <c r="K147" s="57" t="n"/>
    </row>
    <row r="148" ht="15" customHeight="1">
      <c r="A148" s="2" t="inlineStr">
        <is>
          <t>gl</t>
        </is>
      </c>
      <c r="B148" s="2" t="n">
        <v>145</v>
      </c>
      <c r="C148" s="3" t="n"/>
      <c r="D148" s="3" t="n"/>
      <c r="E148" s="2" t="n">
        <v>37</v>
      </c>
      <c r="F148" s="5">
        <f>IF(E148="","",E148*1000)</f>
        <v/>
      </c>
      <c r="G148" s="23" t="n">
        <v>50.4</v>
      </c>
      <c r="H148" s="56">
        <f>IF(I148&lt;&gt;"",I148,IF(G148="","",IF(ROUND(MOD(G148,1),1)&lt;=0.4,INT(G148)-1,INT(G148))))</f>
        <v/>
      </c>
      <c r="I148" s="56" t="n"/>
      <c r="J148" s="57">
        <f>IF(H148="","",IF(LOWER(A148)="gl",H148-2,IF(H148&gt;=60,H148-5,IF(AND(H148&gt;=50,H148&lt;60),H148-4,IF(AND(H148&gt;=10,H148&lt;50),H148-3,H148)))))</f>
        <v/>
      </c>
      <c r="K148" s="57" t="n"/>
    </row>
    <row r="149" ht="15" customHeight="1">
      <c r="A149" s="2" t="inlineStr">
        <is>
          <t>gl</t>
        </is>
      </c>
      <c r="B149" s="2" t="n">
        <v>146</v>
      </c>
      <c r="C149" s="3" t="n"/>
      <c r="D149" s="3" t="n"/>
      <c r="E149" s="2" t="n">
        <v>37</v>
      </c>
      <c r="F149" s="5">
        <f>IF(E149="","",E149*1000)</f>
        <v/>
      </c>
      <c r="G149" s="23" t="n">
        <v>46.6</v>
      </c>
      <c r="H149" s="56">
        <f>IF(I149&lt;&gt;"",I149,IF(G149="","",IF(ROUND(MOD(G149,1),1)&lt;=0.4,INT(G149)-1,INT(G149))))</f>
        <v/>
      </c>
      <c r="I149" s="56" t="n"/>
      <c r="J149" s="57">
        <f>IF(H149="","",IF(LOWER(A149)="gl",H149-2,IF(H149&gt;=60,H149-5,IF(AND(H149&gt;=50,H149&lt;60),H149-4,IF(AND(H149&gt;=10,H149&lt;50),H149-3,H149)))))</f>
        <v/>
      </c>
      <c r="K149" s="57" t="n"/>
    </row>
    <row r="150" ht="15" customHeight="1" thickBot="1">
      <c r="A150" s="35" t="inlineStr">
        <is>
          <t>gl</t>
        </is>
      </c>
      <c r="B150" s="35" t="n">
        <v>147</v>
      </c>
      <c r="C150" s="36" t="n"/>
      <c r="D150" s="36" t="n"/>
      <c r="E150" s="35" t="n">
        <v>37</v>
      </c>
      <c r="F150" s="37">
        <f>IF(E150="","",E150*1000)</f>
        <v/>
      </c>
      <c r="G150" s="33" t="n">
        <v>48.1</v>
      </c>
      <c r="H150" s="56">
        <f>IF(I150&lt;&gt;"",I150,IF(G150="","",IF(ROUND(MOD(G150,1),1)&lt;=0.4,INT(G150)-1,INT(G150))))</f>
        <v/>
      </c>
      <c r="I150" s="56" t="n"/>
      <c r="J150" s="57">
        <f>IF(H150="","",IF(LOWER(A150)="gl",H150-2,IF(H150&gt;=60,H150-5,IF(AND(H150&gt;=50,H150&lt;60),H150-4,IF(AND(H150&gt;=10,H150&lt;50),H150-3,H150)))))</f>
        <v/>
      </c>
      <c r="K150" s="57" t="n"/>
    </row>
    <row r="151" ht="15" customHeight="1">
      <c r="A151" s="10" t="inlineStr">
        <is>
          <t>gl</t>
        </is>
      </c>
      <c r="B151" s="10" t="n">
        <v>148</v>
      </c>
      <c r="C151" s="11" t="n"/>
      <c r="D151" s="11" t="inlineStr">
        <is>
          <t>H. Hanan (1)</t>
        </is>
      </c>
      <c r="E151" s="10" t="n">
        <v>65</v>
      </c>
      <c r="F151" s="13">
        <f>IF(E151="","",E151*1000)</f>
        <v/>
      </c>
      <c r="G151" s="27" t="n">
        <v>31.5</v>
      </c>
      <c r="H151" s="56">
        <f>IF(I151&lt;&gt;"",I151,IF(G151="","",IF(ROUND(MOD(G151,1),1)&lt;=0.4,INT(G151)-1,INT(G151))))</f>
        <v/>
      </c>
      <c r="I151" s="56" t="n"/>
      <c r="J151" s="57">
        <f>IF(H151="","",IF(LOWER(A151)="gl",H151-2,IF(H151&gt;=60,H151-5,IF(AND(H151&gt;=50,H151&lt;60),H151-4,IF(AND(H151&gt;=10,H151&lt;50),H151-3,H151)))))</f>
        <v/>
      </c>
      <c r="K151" s="57" t="n"/>
    </row>
    <row r="152" ht="15" customHeight="1">
      <c r="A152" s="2" t="inlineStr">
        <is>
          <t>gl</t>
        </is>
      </c>
      <c r="B152" s="2" t="n">
        <v>149</v>
      </c>
      <c r="C152" s="3" t="n"/>
      <c r="D152" s="3" t="inlineStr">
        <is>
          <t>(10/8/26)</t>
        </is>
      </c>
      <c r="E152" s="2" t="n">
        <v>63</v>
      </c>
      <c r="F152" s="5">
        <f>IF(E152="","",E152*1000)</f>
        <v/>
      </c>
      <c r="G152" s="23" t="n">
        <v>45.6</v>
      </c>
      <c r="H152" s="56">
        <f>IF(I152&lt;&gt;"",I152,IF(G152="","",IF(ROUND(MOD(G152,1),1)&lt;=0.4,INT(G152)-1,INT(G152))))</f>
        <v/>
      </c>
      <c r="I152" s="56" t="n"/>
      <c r="J152" s="57">
        <f>IF(H152="","",IF(LOWER(A152)="gl",H152-2,IF(H152&gt;=60,H152-5,IF(AND(H152&gt;=50,H152&lt;60),H152-4,IF(AND(H152&gt;=10,H152&lt;50),H152-3,H152)))))</f>
        <v/>
      </c>
      <c r="K152" s="57" t="n"/>
    </row>
    <row r="153" ht="15" customHeight="1">
      <c r="A153" s="2" t="inlineStr">
        <is>
          <t>gl</t>
        </is>
      </c>
      <c r="B153" s="2" t="n">
        <v>150</v>
      </c>
      <c r="C153" s="3" t="n"/>
      <c r="D153" s="3" t="n"/>
      <c r="E153" s="2" t="n">
        <v>63</v>
      </c>
      <c r="F153" s="5">
        <f>IF(E153="","",E153*1000)</f>
        <v/>
      </c>
      <c r="G153" s="23" t="n">
        <v>40.7</v>
      </c>
      <c r="H153" s="56">
        <f>IF(I153&lt;&gt;"",I153,IF(G153="","",IF(ROUND(MOD(G153,1),1)&lt;=0.4,INT(G153)-1,INT(G153))))</f>
        <v/>
      </c>
      <c r="I153" s="56" t="n"/>
      <c r="J153" s="57">
        <f>IF(H153="","",IF(LOWER(A153)="gl",H153-2,IF(H153&gt;=60,H153-5,IF(AND(H153&gt;=50,H153&lt;60),H153-4,IF(AND(H153&gt;=10,H153&lt;50),H153-3,H153)))))</f>
        <v/>
      </c>
      <c r="K153" s="57" t="n"/>
    </row>
    <row r="154" ht="15" customHeight="1">
      <c r="A154" s="2" t="inlineStr">
        <is>
          <t>gl</t>
        </is>
      </c>
      <c r="B154" s="2" t="n">
        <v>151</v>
      </c>
      <c r="C154" s="3" t="n"/>
      <c r="D154" s="3" t="n"/>
      <c r="E154" s="2" t="n">
        <v>62</v>
      </c>
      <c r="F154" s="5">
        <f>IF(E154="","",E154*1000)</f>
        <v/>
      </c>
      <c r="G154" s="23" t="n">
        <v>42.1</v>
      </c>
      <c r="H154" s="56">
        <f>IF(I154&lt;&gt;"",I154,IF(G154="","",IF(ROUND(MOD(G154,1),1)&lt;=0.4,INT(G154)-1,INT(G154))))</f>
        <v/>
      </c>
      <c r="I154" s="56" t="n"/>
      <c r="J154" s="57">
        <f>IF(H154="","",IF(LOWER(A154)="gl",H154-2,IF(H154&gt;=60,H154-5,IF(AND(H154&gt;=50,H154&lt;60),H154-4,IF(AND(H154&gt;=10,H154&lt;50),H154-3,H154)))))</f>
        <v/>
      </c>
      <c r="K154" s="57" t="n"/>
    </row>
    <row r="155" ht="15" customHeight="1">
      <c r="A155" s="2" t="inlineStr">
        <is>
          <t>gl</t>
        </is>
      </c>
      <c r="B155" s="2" t="n">
        <v>152</v>
      </c>
      <c r="C155" s="3" t="n"/>
      <c r="D155" s="3" t="n"/>
      <c r="E155" s="2" t="n">
        <v>64</v>
      </c>
      <c r="F155" s="5">
        <f>IF(E155="","",E155*1000)</f>
        <v/>
      </c>
      <c r="G155" s="23" t="n">
        <v>41.8</v>
      </c>
      <c r="H155" s="56">
        <f>IF(I155&lt;&gt;"",I155,IF(G155="","",IF(ROUND(MOD(G155,1),1)&lt;=0.4,INT(G155)-1,INT(G155))))</f>
        <v/>
      </c>
      <c r="I155" s="56" t="n"/>
      <c r="J155" s="57">
        <f>IF(H155="","",IF(LOWER(A155)="gl",H155-2,IF(H155&gt;=60,H155-5,IF(AND(H155&gt;=50,H155&lt;60),H155-4,IF(AND(H155&gt;=10,H155&lt;50),H155-3,H155)))))</f>
        <v/>
      </c>
      <c r="K155" s="57" t="n"/>
    </row>
    <row r="156" ht="15" customHeight="1">
      <c r="A156" s="2" t="inlineStr">
        <is>
          <t>gl</t>
        </is>
      </c>
      <c r="B156" s="2" t="n">
        <v>153</v>
      </c>
      <c r="C156" s="3" t="n"/>
      <c r="D156" s="3" t="n"/>
      <c r="E156" s="2" t="n">
        <v>62</v>
      </c>
      <c r="F156" s="5">
        <f>IF(E156="","",E156*1000)</f>
        <v/>
      </c>
      <c r="G156" s="23" t="n">
        <v>47.2</v>
      </c>
      <c r="H156" s="56">
        <f>IF(I156&lt;&gt;"",I156,IF(G156="","",IF(ROUND(MOD(G156,1),1)&lt;=0.4,INT(G156)-1,INT(G156))))</f>
        <v/>
      </c>
      <c r="I156" s="56" t="n"/>
      <c r="J156" s="57">
        <f>IF(H156="","",IF(LOWER(A156)="gl",H156-2,IF(H156&gt;=60,H156-5,IF(AND(H156&gt;=50,H156&lt;60),H156-4,IF(AND(H156&gt;=10,H156&lt;50),H156-3,H156)))))</f>
        <v/>
      </c>
      <c r="K156" s="57" t="n"/>
    </row>
    <row r="157" ht="15" customHeight="1">
      <c r="A157" s="2" t="inlineStr">
        <is>
          <t>gl</t>
        </is>
      </c>
      <c r="B157" s="2" t="n">
        <v>154</v>
      </c>
      <c r="C157" s="3" t="n"/>
      <c r="D157" s="3" t="n"/>
      <c r="E157" s="2" t="n">
        <v>64</v>
      </c>
      <c r="F157" s="5">
        <f>IF(E157="","",E157*1000)</f>
        <v/>
      </c>
      <c r="G157" s="23" t="n">
        <v>35.4</v>
      </c>
      <c r="H157" s="56">
        <f>IF(I157&lt;&gt;"",I157,IF(G157="","",IF(ROUND(MOD(G157,1),1)&lt;=0.4,INT(G157)-1,INT(G157))))</f>
        <v/>
      </c>
      <c r="I157" s="56" t="n"/>
      <c r="J157" s="57">
        <f>IF(H157="","",IF(LOWER(A157)="gl",H157-2,IF(H157&gt;=60,H157-5,IF(AND(H157&gt;=50,H157&lt;60),H157-4,IF(AND(H157&gt;=10,H157&lt;50),H157-3,H157)))))</f>
        <v/>
      </c>
      <c r="K157" s="57" t="n"/>
    </row>
    <row r="158" ht="15" customHeight="1">
      <c r="A158" s="2" t="inlineStr">
        <is>
          <t>gl</t>
        </is>
      </c>
      <c r="B158" s="2" t="n">
        <v>155</v>
      </c>
      <c r="C158" s="3" t="n"/>
      <c r="D158" s="3" t="n"/>
      <c r="E158" s="2" t="n">
        <v>62</v>
      </c>
      <c r="F158" s="5">
        <f>IF(E158="","",E158*1000)</f>
        <v/>
      </c>
      <c r="G158" s="23" t="n">
        <v>34.6</v>
      </c>
      <c r="H158" s="56">
        <f>IF(I158&lt;&gt;"",I158,IF(G158="","",IF(ROUND(MOD(G158,1),1)&lt;=0.4,INT(G158)-1,INT(G158))))</f>
        <v/>
      </c>
      <c r="I158" s="56" t="n"/>
      <c r="J158" s="57">
        <f>IF(H158="","",IF(LOWER(A158)="gl",H158-2,IF(H158&gt;=60,H158-5,IF(AND(H158&gt;=50,H158&lt;60),H158-4,IF(AND(H158&gt;=10,H158&lt;50),H158-3,H158)))))</f>
        <v/>
      </c>
      <c r="K158" s="57" t="n"/>
    </row>
    <row r="159" ht="15" customHeight="1">
      <c r="A159" s="2" t="inlineStr">
        <is>
          <t>gl</t>
        </is>
      </c>
      <c r="B159" s="2" t="n">
        <v>156</v>
      </c>
      <c r="C159" s="3" t="n"/>
      <c r="D159" s="3" t="n"/>
      <c r="E159" s="2" t="n">
        <v>63</v>
      </c>
      <c r="F159" s="5">
        <f>IF(E159="","",E159*1000)</f>
        <v/>
      </c>
      <c r="G159" s="23" t="n">
        <v>54.1</v>
      </c>
      <c r="H159" s="56">
        <f>IF(I159&lt;&gt;"",I159,IF(G159="","",IF(ROUND(MOD(G159,1),1)&lt;=0.4,INT(G159)-1,INT(G159))))</f>
        <v/>
      </c>
      <c r="I159" s="56" t="n"/>
      <c r="J159" s="57">
        <f>IF(H159="","",IF(LOWER(A159)="gl",H159-2,IF(H159&gt;=60,H159-5,IF(AND(H159&gt;=50,H159&lt;60),H159-4,IF(AND(H159&gt;=10,H159&lt;50),H159-3,H159)))))</f>
        <v/>
      </c>
      <c r="K159" s="57" t="n"/>
    </row>
    <row r="160" ht="15" customHeight="1">
      <c r="A160" s="2" t="inlineStr">
        <is>
          <t>gl</t>
        </is>
      </c>
      <c r="B160" s="2" t="n">
        <v>157</v>
      </c>
      <c r="C160" s="3" t="n"/>
      <c r="D160" s="3" t="n"/>
      <c r="E160" s="2" t="n">
        <v>63</v>
      </c>
      <c r="F160" s="5">
        <f>IF(E160="","",E160*1000)</f>
        <v/>
      </c>
      <c r="G160" s="23" t="n">
        <v>51.1</v>
      </c>
      <c r="H160" s="56">
        <f>IF(I160&lt;&gt;"",I160,IF(G160="","",IF(ROUND(MOD(G160,1),1)&lt;=0.4,INT(G160)-1,INT(G160))))</f>
        <v/>
      </c>
      <c r="I160" s="56" t="n"/>
      <c r="J160" s="57">
        <f>IF(H160="","",IF(LOWER(A160)="gl",H160-2,IF(H160&gt;=60,H160-5,IF(AND(H160&gt;=50,H160&lt;60),H160-4,IF(AND(H160&gt;=10,H160&lt;50),H160-3,H160)))))</f>
        <v/>
      </c>
      <c r="K160" s="57" t="n"/>
    </row>
    <row r="161" ht="15" customHeight="1">
      <c r="A161" s="2" t="inlineStr">
        <is>
          <t>gl</t>
        </is>
      </c>
      <c r="B161" s="2" t="n">
        <v>158</v>
      </c>
      <c r="C161" s="3" t="n"/>
      <c r="D161" s="3" t="n"/>
      <c r="E161" s="2" t="n">
        <v>63</v>
      </c>
      <c r="F161" s="5">
        <f>IF(E161="","",E161*1000)</f>
        <v/>
      </c>
      <c r="G161" s="23" t="n">
        <v>50.1</v>
      </c>
      <c r="H161" s="56">
        <f>IF(I161&lt;&gt;"",I161,IF(G161="","",IF(ROUND(MOD(G161,1),1)&lt;=0.4,INT(G161)-1,INT(G161))))</f>
        <v/>
      </c>
      <c r="I161" s="56" t="n"/>
      <c r="J161" s="57">
        <f>IF(H161="","",IF(LOWER(A161)="gl",H161-2,IF(H161&gt;=60,H161-5,IF(AND(H161&gt;=50,H161&lt;60),H161-4,IF(AND(H161&gt;=10,H161&lt;50),H161-3,H161)))))</f>
        <v/>
      </c>
      <c r="K161" s="57" t="n"/>
    </row>
    <row r="162" ht="15" customHeight="1">
      <c r="A162" s="2" t="inlineStr">
        <is>
          <t>gl</t>
        </is>
      </c>
      <c r="B162" s="2" t="n">
        <v>159</v>
      </c>
      <c r="C162" s="3" t="n"/>
      <c r="D162" s="3" t="n"/>
      <c r="E162" s="2" t="n">
        <v>58</v>
      </c>
      <c r="F162" s="5">
        <f>IF(E162="","",E162*1000)</f>
        <v/>
      </c>
      <c r="G162" s="23" t="n">
        <v>45.4</v>
      </c>
      <c r="H162" s="56">
        <f>IF(I162&lt;&gt;"",I162,IF(G162="","",IF(ROUND(MOD(G162,1),1)&lt;=0.4,INT(G162)-1,INT(G162))))</f>
        <v/>
      </c>
      <c r="I162" s="56" t="n"/>
      <c r="J162" s="57">
        <f>IF(H162="","",IF(LOWER(A162)="gl",H162-2,IF(H162&gt;=60,H162-5,IF(AND(H162&gt;=50,H162&lt;60),H162-4,IF(AND(H162&gt;=10,H162&lt;50),H162-3,H162)))))</f>
        <v/>
      </c>
      <c r="K162" s="57" t="n"/>
    </row>
    <row r="163" ht="15" customHeight="1">
      <c r="A163" s="2" t="inlineStr">
        <is>
          <t>gl</t>
        </is>
      </c>
      <c r="B163" s="2" t="n">
        <v>160</v>
      </c>
      <c r="C163" s="3" t="n"/>
      <c r="D163" s="3" t="n"/>
      <c r="E163" s="2" t="n">
        <v>62</v>
      </c>
      <c r="F163" s="5">
        <f>IF(E163="","",E163*1000)</f>
        <v/>
      </c>
      <c r="G163" s="23" t="n">
        <v>47.4</v>
      </c>
      <c r="H163" s="56">
        <f>IF(I163&lt;&gt;"",I163,IF(G163="","",IF(ROUND(MOD(G163,1),1)&lt;=0.4,INT(G163)-1,INT(G163))))</f>
        <v/>
      </c>
      <c r="I163" s="56" t="n"/>
      <c r="J163" s="57">
        <f>IF(H163="","",IF(LOWER(A163)="gl",H163-2,IF(H163&gt;=60,H163-5,IF(AND(H163&gt;=50,H163&lt;60),H163-4,IF(AND(H163&gt;=10,H163&lt;50),H163-3,H163)))))</f>
        <v/>
      </c>
      <c r="K163" s="57" t="n"/>
    </row>
    <row r="164" ht="15" customHeight="1">
      <c r="A164" s="2" t="inlineStr">
        <is>
          <t>gl</t>
        </is>
      </c>
      <c r="B164" s="2" t="n">
        <v>161</v>
      </c>
      <c r="C164" s="3" t="n"/>
      <c r="D164" s="3" t="n"/>
      <c r="E164" s="2" t="n">
        <v>62</v>
      </c>
      <c r="F164" s="5">
        <f>IF(E164="","",E164*1000)</f>
        <v/>
      </c>
      <c r="G164" s="23" t="n">
        <v>50.4</v>
      </c>
      <c r="H164" s="56">
        <f>IF(I164&lt;&gt;"",I164,IF(G164="","",IF(ROUND(MOD(G164,1),1)&lt;=0.4,INT(G164)-1,INT(G164))))</f>
        <v/>
      </c>
      <c r="I164" s="56" t="n"/>
      <c r="J164" s="57">
        <f>IF(H164="","",IF(LOWER(A164)="gl",H164-2,IF(H164&gt;=60,H164-5,IF(AND(H164&gt;=50,H164&lt;60),H164-4,IF(AND(H164&gt;=10,H164&lt;50),H164-3,H164)))))</f>
        <v/>
      </c>
      <c r="K164" s="57" t="n"/>
    </row>
    <row r="165" ht="15" customHeight="1">
      <c r="A165" s="2" t="inlineStr">
        <is>
          <t>gl</t>
        </is>
      </c>
      <c r="B165" s="2" t="n">
        <v>162</v>
      </c>
      <c r="C165" s="3" t="n"/>
      <c r="D165" s="3" t="n"/>
      <c r="E165" s="2" t="n">
        <v>58</v>
      </c>
      <c r="F165" s="5">
        <f>IF(E165="","",E165*1000)</f>
        <v/>
      </c>
      <c r="G165" s="23" t="n">
        <v>49.2</v>
      </c>
      <c r="H165" s="56">
        <f>IF(I165&lt;&gt;"",I165,IF(G165="","",IF(ROUND(MOD(G165,1),1)&lt;=0.4,INT(G165)-1,INT(G165))))</f>
        <v/>
      </c>
      <c r="I165" s="56" t="n"/>
      <c r="J165" s="57">
        <f>IF(H165="","",IF(LOWER(A165)="gl",H165-2,IF(H165&gt;=60,H165-5,IF(AND(H165&gt;=50,H165&lt;60),H165-4,IF(AND(H165&gt;=10,H165&lt;50),H165-3,H165)))))</f>
        <v/>
      </c>
      <c r="K165" s="57" t="n"/>
    </row>
    <row r="166" ht="15" customHeight="1" thickBot="1">
      <c r="A166" s="28" t="inlineStr">
        <is>
          <t>gl</t>
        </is>
      </c>
      <c r="B166" s="28" t="n">
        <v>163</v>
      </c>
      <c r="C166" s="29" t="n"/>
      <c r="D166" s="29" t="n"/>
      <c r="E166" s="28" t="n">
        <v>65</v>
      </c>
      <c r="F166" s="30">
        <f>IF(E166="","",E166*1000)</f>
        <v/>
      </c>
      <c r="G166" s="31" t="n">
        <v>33.2</v>
      </c>
      <c r="H166" s="56">
        <f>IF(I166&lt;&gt;"",I166,IF(G166="","",IF(ROUND(MOD(G166,1),1)&lt;=0.4,INT(G166)-1,INT(G166))))</f>
        <v/>
      </c>
      <c r="I166" s="56" t="n"/>
      <c r="J166" s="57">
        <f>IF(H166="","",IF(LOWER(A166)="gl",H166-2,IF(H166&gt;=60,H166-5,IF(AND(H166&gt;=50,H166&lt;60),H166-4,IF(AND(H166&gt;=10,H166&lt;50),H166-3,H166)))))</f>
        <v/>
      </c>
      <c r="K166" s="57" t="n"/>
    </row>
    <row r="167" ht="15" customHeight="1" thickTop="1">
      <c r="A167" s="10" t="inlineStr">
        <is>
          <t>gl</t>
        </is>
      </c>
      <c r="B167" s="10" t="n">
        <v>164</v>
      </c>
      <c r="C167" s="11" t="n"/>
      <c r="D167" s="11" t="inlineStr">
        <is>
          <t>H. Hanan (2)</t>
        </is>
      </c>
      <c r="E167" s="10" t="n">
        <v>67</v>
      </c>
      <c r="F167" s="13">
        <f>IF(E167="","",E167*1000)</f>
        <v/>
      </c>
      <c r="G167" s="27" t="n">
        <v>42.9</v>
      </c>
      <c r="H167" s="56">
        <f>IF(I167&lt;&gt;"",I167,IF(G167="","",IF(ROUND(MOD(G167,1),1)&lt;=0.4,INT(G167)-1,INT(G167))))</f>
        <v/>
      </c>
      <c r="I167" s="56" t="n"/>
      <c r="J167" s="57">
        <f>IF(H167="","",IF(LOWER(A167)="gl",H167-2,IF(H167&gt;=60,H167-5,IF(AND(H167&gt;=50,H167&lt;60),H167-4,IF(AND(H167&gt;=10,H167&lt;50),H167-3,H167)))))</f>
        <v/>
      </c>
      <c r="K167" s="57" t="n"/>
    </row>
    <row r="168" ht="15" customHeight="1">
      <c r="A168" s="2" t="inlineStr">
        <is>
          <t>gl</t>
        </is>
      </c>
      <c r="B168" s="2" t="n">
        <v>165</v>
      </c>
      <c r="C168" s="3" t="n"/>
      <c r="D168" s="3" t="inlineStr">
        <is>
          <t>10 Agustus 2026</t>
        </is>
      </c>
      <c r="E168" s="2" t="n">
        <v>67</v>
      </c>
      <c r="F168" s="5">
        <f>IF(E168="","",E168*1000)</f>
        <v/>
      </c>
      <c r="G168" s="23" t="n">
        <v>42.7</v>
      </c>
      <c r="H168" s="56">
        <f>IF(I168&lt;&gt;"",I168,IF(G168="","",IF(ROUND(MOD(G168,1),1)&lt;=0.4,INT(G168)-1,INT(G168))))</f>
        <v/>
      </c>
      <c r="I168" s="56" t="n"/>
      <c r="J168" s="57">
        <f>IF(H168="","",IF(LOWER(A168)="gl",H168-2,IF(H168&gt;=60,H168-5,IF(AND(H168&gt;=50,H168&lt;60),H168-4,IF(AND(H168&gt;=10,H168&lt;50),H168-3,H168)))))</f>
        <v/>
      </c>
      <c r="K168" s="57" t="n"/>
    </row>
    <row r="169" ht="15" customHeight="1">
      <c r="A169" s="2" t="inlineStr">
        <is>
          <t>gl</t>
        </is>
      </c>
      <c r="B169" s="2" t="n">
        <v>166</v>
      </c>
      <c r="C169" s="3" t="n"/>
      <c r="D169" s="3" t="inlineStr">
        <is>
          <t>Penggeremman</t>
        </is>
      </c>
      <c r="E169" s="2" t="n">
        <v>66</v>
      </c>
      <c r="F169" s="5">
        <f>IF(E169="","",E169*1000)</f>
        <v/>
      </c>
      <c r="G169" s="23" t="n">
        <v>48.9</v>
      </c>
      <c r="H169" s="56">
        <f>IF(I169&lt;&gt;"",I169,IF(G169="","",IF(ROUND(MOD(G169,1),1)&lt;=0.4,INT(G169)-1,INT(G169))))</f>
        <v/>
      </c>
      <c r="I169" s="56" t="n"/>
      <c r="J169" s="57">
        <f>IF(H169="","",IF(LOWER(A169)="gl",H169-2,IF(H169&gt;=60,H169-5,IF(AND(H169&gt;=50,H169&lt;60),H169-4,IF(AND(H169&gt;=10,H169&lt;50),H169-3,H169)))))</f>
        <v/>
      </c>
      <c r="K169" s="57" t="n"/>
    </row>
    <row r="170" ht="15" customHeight="1">
      <c r="A170" s="2" t="inlineStr">
        <is>
          <t>gl</t>
        </is>
      </c>
      <c r="B170" s="2" t="n">
        <v>167</v>
      </c>
      <c r="C170" s="3" t="n"/>
      <c r="E170" s="2" t="n">
        <v>66</v>
      </c>
      <c r="F170" s="5">
        <f>IF(E170="","",E170*1000)</f>
        <v/>
      </c>
      <c r="G170" s="23" t="n">
        <v>51.3</v>
      </c>
      <c r="H170" s="56">
        <f>IF(I170&lt;&gt;"",I170,IF(G170="","",IF(ROUND(MOD(G170,1),1)&lt;=0.4,INT(G170)-1,INT(G170))))</f>
        <v/>
      </c>
      <c r="I170" s="56" t="n"/>
      <c r="J170" s="57">
        <f>IF(H170="","",IF(LOWER(A170)="gl",H170-2,IF(H170&gt;=60,H170-5,IF(AND(H170&gt;=50,H170&lt;60),H170-4,IF(AND(H170&gt;=10,H170&lt;50),H170-3,H170)))))</f>
        <v/>
      </c>
      <c r="K170" s="57" t="n"/>
    </row>
    <row r="171" ht="15" customHeight="1">
      <c r="A171" s="2" t="inlineStr">
        <is>
          <t>gl</t>
        </is>
      </c>
      <c r="B171" s="2" t="n">
        <v>168</v>
      </c>
      <c r="C171" s="3" t="n"/>
      <c r="D171" s="3" t="n"/>
      <c r="E171" s="2" t="n">
        <v>58</v>
      </c>
      <c r="F171" s="5">
        <f>IF(E171="","",E171*1000)</f>
        <v/>
      </c>
      <c r="G171" s="23" t="n">
        <v>36.3</v>
      </c>
      <c r="H171" s="56">
        <f>IF(I171&lt;&gt;"",I171,IF(G171="","",IF(ROUND(MOD(G171,1),1)&lt;=0.4,INT(G171)-1,INT(G171))))</f>
        <v/>
      </c>
      <c r="I171" s="56" t="n"/>
      <c r="J171" s="57">
        <f>IF(H171="","",IF(LOWER(A171)="gl",H171-2,IF(H171&gt;=60,H171-5,IF(AND(H171&gt;=50,H171&lt;60),H171-4,IF(AND(H171&gt;=10,H171&lt;50),H171-3,H171)))))</f>
        <v/>
      </c>
      <c r="K171" s="57" t="n"/>
    </row>
    <row r="172" ht="15" customHeight="1">
      <c r="A172" s="2" t="inlineStr">
        <is>
          <t>gl</t>
        </is>
      </c>
      <c r="B172" s="2" t="n">
        <v>169</v>
      </c>
      <c r="C172" s="3" t="n"/>
      <c r="D172" s="3" t="n"/>
      <c r="E172" s="2" t="n">
        <v>58</v>
      </c>
      <c r="F172" s="5">
        <f>IF(E172="","",E172*1000)</f>
        <v/>
      </c>
      <c r="G172" s="23" t="n">
        <v>35.6</v>
      </c>
      <c r="H172" s="56">
        <f>IF(I172&lt;&gt;"",I172,IF(G172="","",IF(ROUND(MOD(G172,1),1)&lt;=0.4,INT(G172)-1,INT(G172))))</f>
        <v/>
      </c>
      <c r="I172" s="56" t="n"/>
      <c r="J172" s="57">
        <f>IF(H172="","",IF(LOWER(A172)="gl",H172-2,IF(H172&gt;=60,H172-5,IF(AND(H172&gt;=50,H172&lt;60),H172-4,IF(AND(H172&gt;=10,H172&lt;50),H172-3,H172)))))</f>
        <v/>
      </c>
      <c r="K172" s="57" t="n"/>
    </row>
    <row r="173" ht="15" customHeight="1">
      <c r="A173" s="2" t="inlineStr">
        <is>
          <t>gl</t>
        </is>
      </c>
      <c r="B173" s="2" t="n">
        <v>170</v>
      </c>
      <c r="C173" s="3" t="n"/>
      <c r="D173" s="3" t="n"/>
      <c r="E173" s="2" t="n">
        <v>64</v>
      </c>
      <c r="F173" s="5">
        <f>IF(E173="","",E173*1000)</f>
        <v/>
      </c>
      <c r="G173" s="23" t="n">
        <v>37.6</v>
      </c>
      <c r="H173" s="56">
        <f>IF(I173&lt;&gt;"",I173,IF(G173="","",IF(ROUND(MOD(G173,1),1)&lt;=0.4,INT(G173)-1,INT(G173))))</f>
        <v/>
      </c>
      <c r="I173" s="56" t="n"/>
      <c r="J173" s="57">
        <f>IF(H173="","",IF(LOWER(A173)="gl",H173-2,IF(H173&gt;=60,H173-5,IF(AND(H173&gt;=50,H173&lt;60),H173-4,IF(AND(H173&gt;=10,H173&lt;50),H173-3,H173)))))</f>
        <v/>
      </c>
      <c r="K173" s="57" t="n"/>
    </row>
    <row r="174" ht="15" customHeight="1">
      <c r="A174" s="2" t="inlineStr">
        <is>
          <t>gl</t>
        </is>
      </c>
      <c r="B174" s="2" t="n">
        <v>171</v>
      </c>
      <c r="C174" s="3" t="n"/>
      <c r="D174" s="3" t="n"/>
      <c r="E174" s="2" t="n">
        <v>64</v>
      </c>
      <c r="F174" s="5">
        <f>IF(E174="","",E174*1000)</f>
        <v/>
      </c>
      <c r="G174" s="23" t="n">
        <v>36.8</v>
      </c>
      <c r="H174" s="56">
        <f>IF(I174&lt;&gt;"",I174,IF(G174="","",IF(ROUND(MOD(G174,1),1)&lt;=0.4,INT(G174)-1,INT(G174))))</f>
        <v/>
      </c>
      <c r="I174" s="56" t="n"/>
      <c r="J174" s="57">
        <f>IF(H174="","",IF(LOWER(A174)="gl",H174-2,IF(H174&gt;=60,H174-5,IF(AND(H174&gt;=50,H174&lt;60),H174-4,IF(AND(H174&gt;=10,H174&lt;50),H174-3,H174)))))</f>
        <v/>
      </c>
      <c r="K174" s="57" t="n"/>
    </row>
    <row r="175" ht="15" customHeight="1">
      <c r="A175" s="2" t="inlineStr">
        <is>
          <t>gl</t>
        </is>
      </c>
      <c r="B175" s="2" t="n">
        <v>172</v>
      </c>
      <c r="C175" s="3" t="n"/>
      <c r="D175" s="3" t="n"/>
      <c r="E175" s="2" t="n">
        <v>64</v>
      </c>
      <c r="F175" s="5">
        <f>IF(E175="","",E175*1000)</f>
        <v/>
      </c>
      <c r="G175" s="23" t="n">
        <v>31</v>
      </c>
      <c r="H175" s="56">
        <f>IF(I175&lt;&gt;"",I175,IF(G175="","",IF(ROUND(MOD(G175,1),1)&lt;=0.4,INT(G175)-1,INT(G175))))</f>
        <v/>
      </c>
      <c r="I175" s="56" t="n"/>
      <c r="J175" s="57">
        <f>IF(H175="","",IF(LOWER(A175)="gl",H175-2,IF(H175&gt;=60,H175-5,IF(AND(H175&gt;=50,H175&lt;60),H175-4,IF(AND(H175&gt;=10,H175&lt;50),H175-3,H175)))))</f>
        <v/>
      </c>
      <c r="K175" s="57" t="n"/>
    </row>
    <row r="176" ht="15" customHeight="1">
      <c r="A176" s="2" t="inlineStr">
        <is>
          <t>gl</t>
        </is>
      </c>
      <c r="B176" s="2" t="n">
        <v>173</v>
      </c>
      <c r="C176" s="3" t="n"/>
      <c r="D176" s="3" t="n"/>
      <c r="E176" s="2" t="n">
        <v>62</v>
      </c>
      <c r="F176" s="5">
        <f>IF(E176="","",E176*1000)</f>
        <v/>
      </c>
      <c r="G176" s="23" t="n">
        <v>44.1</v>
      </c>
      <c r="H176" s="56">
        <f>IF(I176&lt;&gt;"",I176,IF(G176="","",IF(ROUND(MOD(G176,1),1)&lt;=0.4,INT(G176)-1,INT(G176))))</f>
        <v/>
      </c>
      <c r="I176" s="56" t="n"/>
      <c r="J176" s="57">
        <f>IF(H176="","",IF(LOWER(A176)="gl",H176-2,IF(H176&gt;=60,H176-5,IF(AND(H176&gt;=50,H176&lt;60),H176-4,IF(AND(H176&gt;=10,H176&lt;50),H176-3,H176)))))</f>
        <v/>
      </c>
      <c r="K176" s="57" t="n"/>
    </row>
    <row r="177" ht="15" customHeight="1">
      <c r="A177" s="2" t="inlineStr">
        <is>
          <t>gl</t>
        </is>
      </c>
      <c r="B177" s="2" t="n">
        <v>174</v>
      </c>
      <c r="C177" s="3" t="n"/>
      <c r="D177" s="3" t="n"/>
      <c r="E177" s="2" t="n">
        <v>60</v>
      </c>
      <c r="F177" s="5">
        <f>IF(E177="","",E177*1000)</f>
        <v/>
      </c>
      <c r="G177" s="23" t="n">
        <v>41.9</v>
      </c>
      <c r="H177" s="56">
        <f>IF(I177&lt;&gt;"",I177,IF(G177="","",IF(ROUND(MOD(G177,1),1)&lt;=0.4,INT(G177)-1,INT(G177))))</f>
        <v/>
      </c>
      <c r="I177" s="56" t="n"/>
      <c r="J177" s="57">
        <f>IF(H177="","",IF(LOWER(A177)="gl",H177-2,IF(H177&gt;=60,H177-5,IF(AND(H177&gt;=50,H177&lt;60),H177-4,IF(AND(H177&gt;=10,H177&lt;50),H177-3,H177)))))</f>
        <v/>
      </c>
      <c r="K177" s="57" t="n"/>
    </row>
    <row r="178" ht="15" customHeight="1">
      <c r="A178" s="2" t="inlineStr">
        <is>
          <t>gl</t>
        </is>
      </c>
      <c r="B178" s="2" t="n">
        <v>175</v>
      </c>
      <c r="C178" s="3" t="n"/>
      <c r="D178" s="3" t="n"/>
      <c r="E178" s="2" t="n">
        <v>52</v>
      </c>
      <c r="F178" s="5">
        <f>IF(E178="","",E178*1000)</f>
        <v/>
      </c>
      <c r="G178" s="23" t="n">
        <v>34.5</v>
      </c>
      <c r="H178" s="56">
        <f>IF(I178&lt;&gt;"",I178,IF(G178="","",IF(ROUND(MOD(G178,1),1)&lt;=0.4,INT(G178)-1,INT(G178))))</f>
        <v/>
      </c>
      <c r="I178" s="56" t="n"/>
      <c r="J178" s="57">
        <f>IF(H178="","",IF(LOWER(A178)="gl",H178-2,IF(H178&gt;=60,H178-5,IF(AND(H178&gt;=50,H178&lt;60),H178-4,IF(AND(H178&gt;=10,H178&lt;50),H178-3,H178)))))</f>
        <v/>
      </c>
      <c r="K178" s="57" t="n"/>
    </row>
    <row r="179" ht="15" customHeight="1">
      <c r="A179" s="2" t="inlineStr">
        <is>
          <t>gl</t>
        </is>
      </c>
      <c r="B179" s="2" t="n">
        <v>176</v>
      </c>
      <c r="C179" s="3" t="n"/>
      <c r="D179" s="3" t="n"/>
      <c r="E179" s="2" t="n">
        <v>50</v>
      </c>
      <c r="F179" s="5">
        <f>IF(E179="","",E179*1000)</f>
        <v/>
      </c>
      <c r="G179" s="23" t="n">
        <v>28.6</v>
      </c>
      <c r="H179" s="56">
        <f>IF(I179&lt;&gt;"",I179,IF(G179="","",IF(ROUND(MOD(G179,1),1)&lt;=0.4,INT(G179)-1,INT(G179))))</f>
        <v/>
      </c>
      <c r="I179" s="56" t="n"/>
      <c r="J179" s="57">
        <f>IF(H179="","",IF(LOWER(A179)="gl",H179-2,IF(H179&gt;=60,H179-5,IF(AND(H179&gt;=50,H179&lt;60),H179-4,IF(AND(H179&gt;=10,H179&lt;50),H179-3,H179)))))</f>
        <v/>
      </c>
      <c r="K179" s="57" t="n"/>
    </row>
    <row r="180" ht="15" customHeight="1" thickBot="1">
      <c r="A180" s="35" t="inlineStr">
        <is>
          <t>gl</t>
        </is>
      </c>
      <c r="B180" s="35" t="n">
        <v>177</v>
      </c>
      <c r="C180" s="36" t="n"/>
      <c r="D180" s="36" t="n"/>
      <c r="E180" s="35" t="n">
        <v>50</v>
      </c>
      <c r="F180" s="37">
        <f>IF(E180="","",E180*1000)</f>
        <v/>
      </c>
      <c r="G180" s="34" t="n">
        <v>35.5</v>
      </c>
      <c r="H180" s="56">
        <f>IF(I180&lt;&gt;"",I180,IF(G180="","",IF(ROUND(MOD(G180,1),1)&lt;=0.4,INT(G180)-1,INT(G180))))</f>
        <v/>
      </c>
      <c r="I180" s="56" t="n"/>
      <c r="J180" s="57">
        <f>IF(H180="","",IF(LOWER(A180)="gl",H180-2,IF(H180&gt;=60,H180-5,IF(AND(H180&gt;=50,H180&lt;60),H180-4,IF(AND(H180&gt;=10,H180&lt;50),H180-3,H180)))))</f>
        <v/>
      </c>
      <c r="K180" s="57" t="n"/>
    </row>
    <row r="181" ht="15" customHeight="1">
      <c r="A181" s="10" t="inlineStr">
        <is>
          <t>gl</t>
        </is>
      </c>
      <c r="B181" s="10" t="n">
        <v>178</v>
      </c>
      <c r="C181" s="11" t="n"/>
      <c r="D181" s="11" t="inlineStr">
        <is>
          <t>Dulla</t>
        </is>
      </c>
      <c r="E181" s="10" t="n">
        <v>52</v>
      </c>
      <c r="F181" s="13">
        <f>IF(E181="","",E181*1000)</f>
        <v/>
      </c>
      <c r="G181" s="27" t="n">
        <v>43.7</v>
      </c>
      <c r="H181" s="56">
        <f>IF(I181&lt;&gt;"",I181,IF(G181="","",IF(ROUND(MOD(G181,1),1)&lt;=0.4,INT(G181)-1,INT(G181))))</f>
        <v/>
      </c>
      <c r="I181" s="56" t="n"/>
      <c r="J181" s="57">
        <f>IF(H181="","",IF(LOWER(A181)="gl",H181-2,IF(H181&gt;=60,H181-5,IF(AND(H181&gt;=50,H181&lt;60),H181-4,IF(AND(H181&gt;=10,H181&lt;50),H181-3,H181)))))</f>
        <v/>
      </c>
      <c r="K181" s="57" t="n"/>
    </row>
    <row r="182" ht="15" customHeight="1">
      <c r="A182" s="2" t="inlineStr">
        <is>
          <t>gl</t>
        </is>
      </c>
      <c r="B182" s="2" t="n">
        <v>179</v>
      </c>
      <c r="C182" s="3" t="n"/>
      <c r="D182" s="3" t="inlineStr">
        <is>
          <t>10/8/26</t>
        </is>
      </c>
      <c r="E182" s="2" t="n">
        <v>52</v>
      </c>
      <c r="F182" s="5">
        <f>IF(E182="","",E182*1000)</f>
        <v/>
      </c>
      <c r="G182" s="23" t="n">
        <v>43.5</v>
      </c>
      <c r="H182" s="56">
        <f>IF(I182&lt;&gt;"",I182,IF(G182="","",IF(ROUND(MOD(G182,1),1)&lt;=0.4,INT(G182)-1,INT(G182))))</f>
        <v/>
      </c>
      <c r="I182" s="56" t="n"/>
      <c r="J182" s="57">
        <f>IF(H182="","",IF(LOWER(A182)="gl",H182-2,IF(H182&gt;=60,H182-5,IF(AND(H182&gt;=50,H182&lt;60),H182-4,IF(AND(H182&gt;=10,H182&lt;50),H182-3,H182)))))</f>
        <v/>
      </c>
      <c r="K182" s="57" t="n"/>
    </row>
    <row r="183" ht="15" customHeight="1" thickBot="1">
      <c r="A183" s="35" t="inlineStr">
        <is>
          <t>gl</t>
        </is>
      </c>
      <c r="B183" s="35" t="n">
        <v>180</v>
      </c>
      <c r="C183" s="36" t="n"/>
      <c r="D183" s="36" t="n"/>
      <c r="E183" s="35" t="n">
        <v>52</v>
      </c>
      <c r="F183" s="37">
        <f>IF(E183="","",E183*1000)</f>
        <v/>
      </c>
      <c r="G183" s="34" t="n">
        <v>44.7</v>
      </c>
      <c r="H183" s="56">
        <f>IF(I183&lt;&gt;"",I183,IF(G183="","",IF(ROUND(MOD(G183,1),1)&lt;=0.4,INT(G183)-1,INT(G183))))</f>
        <v/>
      </c>
      <c r="I183" s="56" t="n"/>
      <c r="J183" s="57">
        <f>IF(H183="","",IF(LOWER(A183)="gl",H183-2,IF(H183&gt;=60,H183-5,IF(AND(H183&gt;=50,H183&lt;60),H183-4,IF(AND(H183&gt;=10,H183&lt;50),H183-3,H183)))))</f>
        <v/>
      </c>
      <c r="K183" s="57" t="n"/>
    </row>
    <row r="184" ht="15" customHeight="1">
      <c r="A184" s="10" t="inlineStr">
        <is>
          <t>gl</t>
        </is>
      </c>
      <c r="B184" s="10" t="n">
        <v>181</v>
      </c>
      <c r="C184" s="11" t="n"/>
      <c r="D184" s="11" t="inlineStr">
        <is>
          <t>H. Hanan (3)</t>
        </is>
      </c>
      <c r="E184" s="10" t="n">
        <v>64</v>
      </c>
      <c r="F184" s="13">
        <f>IF(E184="","",E184*1000)</f>
        <v/>
      </c>
      <c r="G184" s="27" t="n">
        <v>33.5</v>
      </c>
      <c r="H184" s="56">
        <f>IF(I184&lt;&gt;"",I184,IF(G184="","",IF(ROUND(MOD(G184,1),1)&lt;=0.4,INT(G184)-1,INT(G184))))</f>
        <v/>
      </c>
      <c r="I184" s="56" t="n"/>
      <c r="J184" s="57">
        <f>IF(H184="","",IF(LOWER(A184)="gl",H184-2,IF(H184&gt;=60,H184-5,IF(AND(H184&gt;=50,H184&lt;60),H184-4,IF(AND(H184&gt;=10,H184&lt;50),H184-3,H184)))))</f>
        <v/>
      </c>
      <c r="K184" s="57" t="n"/>
    </row>
    <row r="185" ht="15" customHeight="1">
      <c r="A185" s="2" t="inlineStr">
        <is>
          <t>gl</t>
        </is>
      </c>
      <c r="B185" s="2" t="n">
        <v>182</v>
      </c>
      <c r="C185" s="3" t="n"/>
      <c r="D185" s="3" t="inlineStr">
        <is>
          <t>10/8/26</t>
        </is>
      </c>
      <c r="E185" s="2" t="n">
        <v>52</v>
      </c>
      <c r="F185" s="5">
        <f>IF(E185="","",E185*1000)</f>
        <v/>
      </c>
      <c r="G185" s="23" t="n">
        <v>23.9</v>
      </c>
      <c r="H185" s="56">
        <f>IF(I185&lt;&gt;"",I185,IF(G185="","",IF(ROUND(MOD(G185,1),1)&lt;=0.4,INT(G185)-1,INT(G185))))</f>
        <v/>
      </c>
      <c r="I185" s="56" t="n"/>
      <c r="J185" s="57">
        <f>IF(H185="","",IF(LOWER(A185)="gl",H185-2,IF(H185&gt;=60,H185-5,IF(AND(H185&gt;=50,H185&lt;60),H185-4,IF(AND(H185&gt;=10,H185&lt;50),H185-3,H185)))))</f>
        <v/>
      </c>
      <c r="K185" s="57" t="n"/>
    </row>
    <row r="186" ht="15" customHeight="1">
      <c r="A186" s="2" t="inlineStr">
        <is>
          <t>gl</t>
        </is>
      </c>
      <c r="B186" s="2" t="n">
        <v>183</v>
      </c>
      <c r="C186" s="3" t="n"/>
      <c r="D186" s="3" t="n"/>
      <c r="E186" s="2" t="n">
        <v>62</v>
      </c>
      <c r="F186" s="5">
        <f>IF(E186="","",E186*1000)</f>
        <v/>
      </c>
      <c r="G186" s="23" t="n">
        <v>35.8</v>
      </c>
      <c r="H186" s="56">
        <f>IF(I186&lt;&gt;"",I186,IF(G186="","",IF(ROUND(MOD(G186,1),1)&lt;=0.4,INT(G186)-1,INT(G186))))</f>
        <v/>
      </c>
      <c r="I186" s="56" t="n"/>
      <c r="J186" s="57">
        <f>IF(H186="","",IF(LOWER(A186)="gl",H186-2,IF(H186&gt;=60,H186-5,IF(AND(H186&gt;=50,H186&lt;60),H186-4,IF(AND(H186&gt;=10,H186&lt;50),H186-3,H186)))))</f>
        <v/>
      </c>
      <c r="K186" s="57" t="n"/>
    </row>
    <row r="187" ht="15" customHeight="1" thickBot="1">
      <c r="A187" s="35" t="inlineStr">
        <is>
          <t>gl</t>
        </is>
      </c>
      <c r="B187" s="35" t="n">
        <v>184</v>
      </c>
      <c r="C187" s="36" t="n"/>
      <c r="D187" s="36" t="n"/>
      <c r="E187" s="35" t="n">
        <v>62</v>
      </c>
      <c r="F187" s="37">
        <f>IF(E187="","",E187*1000)</f>
        <v/>
      </c>
      <c r="G187" s="34" t="n">
        <v>32</v>
      </c>
      <c r="H187" s="56">
        <f>IF(I187&lt;&gt;"",I187,IF(G187="","",IF(ROUND(MOD(G187,1),1)&lt;=0.4,INT(G187)-1,INT(G187))))</f>
        <v/>
      </c>
      <c r="I187" s="56" t="n"/>
      <c r="J187" s="57">
        <f>IF(H187="","",IF(LOWER(A187)="gl",H187-2,IF(H187&gt;=60,H187-5,IF(AND(H187&gt;=50,H187&lt;60),H187-4,IF(AND(H187&gt;=10,H187&lt;50),H187-3,H187)))))</f>
        <v/>
      </c>
      <c r="K187" s="57" t="n"/>
    </row>
    <row r="188" ht="15" customHeight="1">
      <c r="A188" s="10" t="inlineStr">
        <is>
          <t>gl</t>
        </is>
      </c>
      <c r="B188" s="10" t="n">
        <v>185</v>
      </c>
      <c r="C188" s="11" t="n"/>
      <c r="D188" s="11" t="inlineStr">
        <is>
          <t>Kurdi</t>
        </is>
      </c>
      <c r="E188" s="10" t="n">
        <v>48</v>
      </c>
      <c r="F188" s="13">
        <f>IF(E188="","",E188*1000)</f>
        <v/>
      </c>
      <c r="G188" s="27" t="n">
        <v>45.5</v>
      </c>
      <c r="H188" s="56">
        <f>IF(I188&lt;&gt;"",I188,IF(G188="","",IF(ROUND(MOD(G188,1),1)&lt;=0.4,INT(G188)-1,INT(G188))))</f>
        <v/>
      </c>
      <c r="I188" s="56" t="n"/>
      <c r="J188" s="57">
        <f>IF(H188="","",IF(LOWER(A188)="gl",H188-2,IF(H188&gt;=60,H188-5,IF(AND(H188&gt;=50,H188&lt;60),H188-4,IF(AND(H188&gt;=10,H188&lt;50),H188-3,H188)))))</f>
        <v/>
      </c>
      <c r="K188" s="57" t="n"/>
    </row>
    <row r="189" ht="15" customHeight="1">
      <c r="A189" s="10" t="inlineStr">
        <is>
          <t>gl</t>
        </is>
      </c>
      <c r="B189" s="2" t="n">
        <v>186</v>
      </c>
      <c r="C189" s="3" t="n"/>
      <c r="D189" s="3" t="inlineStr">
        <is>
          <t>(11/8/26)</t>
        </is>
      </c>
      <c r="E189" s="2" t="n">
        <v>48</v>
      </c>
      <c r="F189" s="5">
        <f>IF(E189="","",E189*1000)</f>
        <v/>
      </c>
      <c r="G189" s="23" t="n">
        <v>44.2</v>
      </c>
      <c r="H189" s="56">
        <f>IF(I189&lt;&gt;"",I189,IF(G189="","",IF(ROUND(MOD(G189,1),1)&lt;=0.4,INT(G189)-1,INT(G189))))</f>
        <v/>
      </c>
      <c r="I189" s="56" t="n"/>
      <c r="J189" s="57">
        <f>IF(H189="","",IF(LOWER(A189)="gl",H189-2,IF(H189&gt;=60,H189-5,IF(AND(H189&gt;=50,H189&lt;60),H189-4,IF(AND(H189&gt;=10,H189&lt;50),H189-3,H189)))))</f>
        <v/>
      </c>
      <c r="K189" s="57" t="n"/>
    </row>
    <row r="190" ht="15" customHeight="1">
      <c r="A190" s="10" t="inlineStr">
        <is>
          <t>gl</t>
        </is>
      </c>
      <c r="B190" s="2" t="n">
        <v>187</v>
      </c>
      <c r="C190" s="3" t="n"/>
      <c r="D190" s="3" t="n"/>
      <c r="E190" s="2" t="n">
        <v>45</v>
      </c>
      <c r="F190" s="5">
        <f>IF(E190="","",E190*1000)</f>
        <v/>
      </c>
      <c r="G190" s="23" t="n">
        <v>42.2</v>
      </c>
      <c r="H190" s="56">
        <f>IF(I190&lt;&gt;"",I190,IF(G190="","",IF(ROUND(MOD(G190,1),1)&lt;=0.4,INT(G190)-1,INT(G190))))</f>
        <v/>
      </c>
      <c r="I190" s="56" t="n"/>
      <c r="J190" s="57">
        <f>IF(H190="","",IF(LOWER(A190)="gl",H190-2,IF(H190&gt;=60,H190-5,IF(AND(H190&gt;=50,H190&lt;60),H190-4,IF(AND(H190&gt;=10,H190&lt;50),H190-3,H190)))))</f>
        <v/>
      </c>
      <c r="K190" s="57" t="n"/>
    </row>
    <row r="191" ht="15" customHeight="1">
      <c r="A191" s="10" t="inlineStr">
        <is>
          <t>gl</t>
        </is>
      </c>
      <c r="B191" s="2" t="n">
        <v>188</v>
      </c>
      <c r="C191" s="3" t="n"/>
      <c r="D191" s="3" t="n"/>
      <c r="E191" s="2" t="n">
        <v>48</v>
      </c>
      <c r="F191" s="5">
        <f>IF(E191="","",E191*1000)</f>
        <v/>
      </c>
      <c r="G191" s="23" t="n">
        <v>42.2</v>
      </c>
      <c r="H191" s="56">
        <f>IF(I191&lt;&gt;"",I191,IF(G191="","",IF(ROUND(MOD(G191,1),1)&lt;=0.4,INT(G191)-1,INT(G191))))</f>
        <v/>
      </c>
      <c r="I191" s="56" t="n"/>
      <c r="J191" s="57">
        <f>IF(H191="","",IF(LOWER(A191)="gl",H191-2,IF(H191&gt;=60,H191-5,IF(AND(H191&gt;=50,H191&lt;60),H191-4,IF(AND(H191&gt;=10,H191&lt;50),H191-3,H191)))))</f>
        <v/>
      </c>
      <c r="K191" s="57" t="n"/>
    </row>
    <row r="192" ht="15" customHeight="1">
      <c r="A192" s="10" t="inlineStr">
        <is>
          <t>gl</t>
        </is>
      </c>
      <c r="B192" s="2" t="n">
        <v>189</v>
      </c>
      <c r="C192" s="3" t="n"/>
      <c r="D192" s="3" t="n"/>
      <c r="E192" s="2" t="n">
        <v>48</v>
      </c>
      <c r="F192" s="5">
        <f>IF(E192="","",E192*1000)</f>
        <v/>
      </c>
      <c r="G192" s="23" t="n">
        <v>45.9</v>
      </c>
      <c r="H192" s="56">
        <f>IF(I192&lt;&gt;"",I192,IF(G192="","",IF(ROUND(MOD(G192,1),1)&lt;=0.4,INT(G192)-1,INT(G192))))</f>
        <v/>
      </c>
      <c r="I192" s="56" t="n"/>
      <c r="J192" s="57">
        <f>IF(H192="","",IF(LOWER(A192)="gl",H192-2,IF(H192&gt;=60,H192-5,IF(AND(H192&gt;=50,H192&lt;60),H192-4,IF(AND(H192&gt;=10,H192&lt;50),H192-3,H192)))))</f>
        <v/>
      </c>
      <c r="K192" s="57" t="n"/>
    </row>
    <row r="193" ht="15" customHeight="1">
      <c r="A193" s="10" t="inlineStr">
        <is>
          <t>gl</t>
        </is>
      </c>
      <c r="B193" s="2" t="n">
        <v>190</v>
      </c>
      <c r="C193" s="3" t="n"/>
      <c r="D193" s="3" t="n"/>
      <c r="E193" s="2" t="n">
        <v>45</v>
      </c>
      <c r="F193" s="5">
        <f>IF(E193="","",E193*1000)</f>
        <v/>
      </c>
      <c r="G193" s="23" t="n">
        <v>38.1</v>
      </c>
      <c r="H193" s="56">
        <f>IF(I193&lt;&gt;"",I193,IF(G193="","",IF(ROUND(MOD(G193,1),1)&lt;=0.4,INT(G193)-1,INT(G193))))</f>
        <v/>
      </c>
      <c r="I193" s="56" t="n"/>
      <c r="J193" s="57">
        <f>IF(H193="","",IF(LOWER(A193)="gl",H193-2,IF(H193&gt;=60,H193-5,IF(AND(H193&gt;=50,H193&lt;60),H193-4,IF(AND(H193&gt;=10,H193&lt;50),H193-3,H193)))))</f>
        <v/>
      </c>
      <c r="K193" s="57" t="n"/>
    </row>
    <row r="194" ht="15" customHeight="1">
      <c r="A194" s="10" t="inlineStr">
        <is>
          <t>gl</t>
        </is>
      </c>
      <c r="B194" s="2" t="n">
        <v>191</v>
      </c>
      <c r="C194" s="3" t="n"/>
      <c r="D194" s="3" t="n"/>
      <c r="E194" s="2" t="n">
        <v>46</v>
      </c>
      <c r="F194" s="5">
        <f>IF(E194="","",E194*1000)</f>
        <v/>
      </c>
      <c r="G194" s="23" t="n">
        <v>48.8</v>
      </c>
      <c r="H194" s="56">
        <f>IF(I194&lt;&gt;"",I194,IF(G194="","",IF(ROUND(MOD(G194,1),1)&lt;=0.4,INT(G194)-1,INT(G194))))</f>
        <v/>
      </c>
      <c r="I194" s="56" t="n"/>
      <c r="J194" s="57">
        <f>IF(H194="","",IF(LOWER(A194)="gl",H194-2,IF(H194&gt;=60,H194-5,IF(AND(H194&gt;=50,H194&lt;60),H194-4,IF(AND(H194&gt;=10,H194&lt;50),H194-3,H194)))))</f>
        <v/>
      </c>
      <c r="K194" s="57" t="n"/>
    </row>
    <row r="195" ht="15" customHeight="1">
      <c r="A195" s="10" t="inlineStr">
        <is>
          <t>gl</t>
        </is>
      </c>
      <c r="B195" s="2" t="n">
        <v>192</v>
      </c>
      <c r="C195" s="3" t="n"/>
      <c r="D195" s="3" t="n"/>
      <c r="E195" s="2" t="n">
        <v>46</v>
      </c>
      <c r="F195" s="5">
        <f>IF(E195="","",E195*1000)</f>
        <v/>
      </c>
      <c r="G195" s="23" t="n">
        <v>44.5</v>
      </c>
      <c r="H195" s="56">
        <f>IF(I195&lt;&gt;"",I195,IF(G195="","",IF(ROUND(MOD(G195,1),1)&lt;=0.4,INT(G195)-1,INT(G195))))</f>
        <v/>
      </c>
      <c r="I195" s="56" t="n"/>
      <c r="J195" s="57">
        <f>IF(H195="","",IF(LOWER(A195)="gl",H195-2,IF(H195&gt;=60,H195-5,IF(AND(H195&gt;=50,H195&lt;60),H195-4,IF(AND(H195&gt;=10,H195&lt;50),H195-3,H195)))))</f>
        <v/>
      </c>
      <c r="K195" s="57" t="n"/>
    </row>
    <row r="196" ht="15" customHeight="1">
      <c r="A196" s="10" t="n"/>
      <c r="B196" s="2" t="n">
        <v>193</v>
      </c>
      <c r="C196" s="3" t="n"/>
      <c r="D196" s="2" t="inlineStr">
        <is>
          <t>G</t>
        </is>
      </c>
      <c r="E196" s="2" t="n">
        <v>37</v>
      </c>
      <c r="F196" s="5">
        <f>IF(E196="","",E196*1000)</f>
        <v/>
      </c>
      <c r="G196" s="23" t="n">
        <v>35.6</v>
      </c>
      <c r="H196" s="56">
        <f>IF(I196&lt;&gt;"",I196,IF(G196="","",IF(ROUND(MOD(G196,1),1)&lt;=0.4,INT(G196)-1,INT(G196))))</f>
        <v/>
      </c>
      <c r="I196" s="56" t="n"/>
      <c r="J196" s="57">
        <f>IF(H196="","",IF(LOWER(A196)="gl",H196-2,IF(H196&gt;=60,H196-5,IF(AND(H196&gt;=50,H196&lt;60),H196-4,IF(AND(H196&gt;=10,H196&lt;50),H196-3,H196)))))</f>
        <v/>
      </c>
      <c r="K196" s="57" t="n"/>
    </row>
    <row r="197" ht="15" customHeight="1">
      <c r="A197" s="10" t="n"/>
      <c r="B197" s="2" t="n">
        <v>194</v>
      </c>
      <c r="C197" s="3" t="n"/>
      <c r="D197" s="2" t="inlineStr">
        <is>
          <t>G</t>
        </is>
      </c>
      <c r="E197" s="2" t="n">
        <v>32</v>
      </c>
      <c r="F197" s="5">
        <f>IF(E197="","",E197*1000)</f>
        <v/>
      </c>
      <c r="G197" s="23" t="n">
        <v>35.5</v>
      </c>
      <c r="H197" s="56">
        <f>IF(I197&lt;&gt;"",I197,IF(G197="","",IF(ROUND(MOD(G197,1),1)&lt;=0.4,INT(G197)-1,INT(G197))))</f>
        <v/>
      </c>
      <c r="I197" s="56" t="n"/>
      <c r="J197" s="57">
        <f>IF(H197="","",IF(LOWER(A197)="gl",H197-2,IF(H197&gt;=60,H197-5,IF(AND(H197&gt;=50,H197&lt;60),H197-4,IF(AND(H197&gt;=10,H197&lt;50),H197-3,H197)))))</f>
        <v/>
      </c>
      <c r="K197" s="57" t="n"/>
    </row>
    <row r="198" ht="15" customHeight="1">
      <c r="A198" s="10" t="n"/>
      <c r="B198" s="2" t="n">
        <v>195</v>
      </c>
      <c r="C198" s="3" t="n"/>
      <c r="D198" s="2" t="inlineStr">
        <is>
          <t>G</t>
        </is>
      </c>
      <c r="E198" s="2" t="n">
        <v>32</v>
      </c>
      <c r="F198" s="5">
        <f>IF(E198="","",E198*1000)</f>
        <v/>
      </c>
      <c r="G198" s="23" t="n">
        <v>38.8</v>
      </c>
      <c r="H198" s="56">
        <f>IF(I198&lt;&gt;"",I198,IF(G198="","",IF(ROUND(MOD(G198,1),1)&lt;=0.4,INT(G198)-1,INT(G198))))</f>
        <v/>
      </c>
      <c r="I198" s="56" t="n"/>
      <c r="J198" s="57">
        <f>IF(H198="","",IF(LOWER(A198)="gl",H198-2,IF(H198&gt;=60,H198-5,IF(AND(H198&gt;=50,H198&lt;60),H198-4,IF(AND(H198&gt;=10,H198&lt;50),H198-3,H198)))))</f>
        <v/>
      </c>
      <c r="K198" s="57" t="n"/>
    </row>
    <row r="199" ht="15" customHeight="1">
      <c r="A199" s="10" t="inlineStr">
        <is>
          <t>gl</t>
        </is>
      </c>
      <c r="B199" s="2" t="n">
        <v>196</v>
      </c>
      <c r="C199" s="3" t="n"/>
      <c r="D199" s="3" t="n"/>
      <c r="E199" s="2" t="n">
        <v>32</v>
      </c>
      <c r="F199" s="5">
        <f>IF(E199="","",E199*1000)</f>
        <v/>
      </c>
      <c r="G199" s="23" t="n">
        <v>37.2</v>
      </c>
      <c r="H199" s="56">
        <f>IF(I199&lt;&gt;"",I199,IF(G199="","",IF(ROUND(MOD(G199,1),1)&lt;=0.4,INT(G199)-1,INT(G199))))</f>
        <v/>
      </c>
      <c r="I199" s="56" t="n"/>
      <c r="J199" s="57">
        <f>IF(H199="","",IF(LOWER(A199)="gl",H199-2,IF(H199&gt;=60,H199-5,IF(AND(H199&gt;=50,H199&lt;60),H199-4,IF(AND(H199&gt;=10,H199&lt;50),H199-3,H199)))))</f>
        <v/>
      </c>
      <c r="K199" s="57" t="n"/>
    </row>
    <row r="200" ht="15" customHeight="1">
      <c r="A200" s="10" t="inlineStr">
        <is>
          <t>gl</t>
        </is>
      </c>
      <c r="B200" s="2" t="n">
        <v>197</v>
      </c>
      <c r="C200" s="3" t="n"/>
      <c r="D200" s="3" t="n"/>
      <c r="E200" s="2" t="n">
        <v>43</v>
      </c>
      <c r="F200" s="5">
        <f>IF(E200="","",E200*1000)</f>
        <v/>
      </c>
      <c r="G200" s="23" t="n">
        <v>34.6</v>
      </c>
      <c r="H200" s="56">
        <f>IF(I200&lt;&gt;"",I200,IF(G200="","",IF(ROUND(MOD(G200,1),1)&lt;=0.4,INT(G200)-1,INT(G200))))</f>
        <v/>
      </c>
      <c r="I200" s="56" t="n"/>
      <c r="J200" s="57">
        <f>IF(H200="","",IF(LOWER(A200)="gl",H200-2,IF(H200&gt;=60,H200-5,IF(AND(H200&gt;=50,H200&lt;60),H200-4,IF(AND(H200&gt;=10,H200&lt;50),H200-3,H200)))))</f>
        <v/>
      </c>
      <c r="K200" s="57" t="n"/>
    </row>
    <row r="201" ht="15" customHeight="1">
      <c r="A201" s="10" t="inlineStr">
        <is>
          <t>gl</t>
        </is>
      </c>
      <c r="B201" s="2" t="n">
        <v>198</v>
      </c>
      <c r="C201" s="3" t="n"/>
      <c r="D201" s="3" t="n"/>
      <c r="E201" s="2" t="n">
        <v>45</v>
      </c>
      <c r="F201" s="5">
        <f>IF(E201="","",E201*1000)</f>
        <v/>
      </c>
      <c r="G201" s="23" t="n">
        <v>35.2</v>
      </c>
      <c r="H201" s="56">
        <f>IF(I201&lt;&gt;"",I201,IF(G201="","",IF(ROUND(MOD(G201,1),1)&lt;=0.4,INT(G201)-1,INT(G201))))</f>
        <v/>
      </c>
      <c r="I201" s="56" t="n"/>
      <c r="J201" s="57">
        <f>IF(H201="","",IF(LOWER(A201)="gl",H201-2,IF(H201&gt;=60,H201-5,IF(AND(H201&gt;=50,H201&lt;60),H201-4,IF(AND(H201&gt;=10,H201&lt;50),H201-3,H201)))))</f>
        <v/>
      </c>
      <c r="K201" s="57" t="n"/>
    </row>
    <row r="202" ht="15" customHeight="1" thickBot="1">
      <c r="A202" s="35" t="inlineStr">
        <is>
          <t>gl</t>
        </is>
      </c>
      <c r="B202" s="35" t="n">
        <v>199</v>
      </c>
      <c r="C202" s="36" t="n"/>
      <c r="D202" s="36" t="n"/>
      <c r="E202" s="35" t="n">
        <v>45</v>
      </c>
      <c r="F202" s="37">
        <f>IF(E202="","",E202*1000)</f>
        <v/>
      </c>
      <c r="G202" s="34" t="n">
        <v>33.1</v>
      </c>
      <c r="H202" s="56">
        <f>IF(I202&lt;&gt;"",I202,IF(G202="","",IF(ROUND(MOD(G202,1),1)&lt;=0.4,INT(G202)-1,INT(G202))))</f>
        <v/>
      </c>
      <c r="I202" s="56" t="n"/>
      <c r="J202" s="57">
        <f>IF(H202="","",IF(LOWER(A202)="gl",H202-2,IF(H202&gt;=60,H202-5,IF(AND(H202&gt;=50,H202&lt;60),H202-4,IF(AND(H202&gt;=10,H202&lt;50),H202-3,H202)))))</f>
        <v/>
      </c>
      <c r="K202" s="57" t="n"/>
    </row>
    <row r="203" ht="15" customHeight="1">
      <c r="A203" s="10" t="n"/>
      <c r="B203" s="10" t="n">
        <v>200</v>
      </c>
      <c r="C203" s="11" t="n"/>
      <c r="D203" s="11" t="inlineStr">
        <is>
          <t>H. Hanan (1)</t>
        </is>
      </c>
      <c r="E203" s="10" t="n">
        <v>65</v>
      </c>
      <c r="F203" s="13">
        <f>IF(E203="","",E203*1000)</f>
        <v/>
      </c>
      <c r="G203" s="27" t="n">
        <v>46.6</v>
      </c>
      <c r="H203" s="56">
        <f>IF(I203&lt;&gt;"",I203,IF(G203="","",IF(ROUND(MOD(G203,1),1)&lt;=0.4,INT(G203)-1,INT(G203))))</f>
        <v/>
      </c>
      <c r="I203" s="56" t="n"/>
      <c r="J203" s="57">
        <f>IF(H203="","",IF(LOWER(A203)="gl",H203-2,IF(H203&gt;=60,H203-5,IF(AND(H203&gt;=50,H203&lt;60),H203-4,IF(AND(H203&gt;=10,H203&lt;50),H203-3,H203)))))</f>
        <v/>
      </c>
      <c r="K203" s="57" t="n"/>
    </row>
    <row r="204" ht="15" customHeight="1">
      <c r="A204" s="10" t="n"/>
      <c r="B204" s="2" t="n">
        <v>201</v>
      </c>
      <c r="C204" s="3" t="n"/>
      <c r="D204" s="3" t="inlineStr">
        <is>
          <t>(11/8/26)</t>
        </is>
      </c>
      <c r="E204" s="2" t="n">
        <v>65</v>
      </c>
      <c r="F204" s="5">
        <f>IF(E204="","",E204*1000)</f>
        <v/>
      </c>
      <c r="G204" s="23" t="n">
        <v>47.8</v>
      </c>
      <c r="H204" s="56">
        <f>IF(I204&lt;&gt;"",I204,IF(G204="","",IF(ROUND(MOD(G204,1),1)&lt;=0.4,INT(G204)-1,INT(G204))))</f>
        <v/>
      </c>
      <c r="I204" s="56" t="n"/>
      <c r="J204" s="57">
        <f>IF(H204="","",IF(LOWER(A204)="gl",H204-2,IF(H204&gt;=60,H204-5,IF(AND(H204&gt;=50,H204&lt;60),H204-4,IF(AND(H204&gt;=10,H204&lt;50),H204-3,H204)))))</f>
        <v/>
      </c>
      <c r="K204" s="57" t="n"/>
    </row>
    <row r="205" ht="15" customHeight="1">
      <c r="A205" s="10" t="n"/>
      <c r="B205" s="2" t="n">
        <v>202</v>
      </c>
      <c r="C205" s="3" t="n"/>
      <c r="D205" s="3" t="inlineStr">
        <is>
          <t>panggeremman</t>
        </is>
      </c>
      <c r="E205" s="2" t="n">
        <v>61</v>
      </c>
      <c r="F205" s="5">
        <f>IF(E205="","",E205*1000)</f>
        <v/>
      </c>
      <c r="G205" s="23" t="n">
        <v>35.5</v>
      </c>
      <c r="H205" s="56">
        <f>IF(I205&lt;&gt;"",I205,IF(G205="","",IF(ROUND(MOD(G205,1),1)&lt;=0.4,INT(G205)-1,INT(G205))))</f>
        <v/>
      </c>
      <c r="I205" s="56" t="n"/>
      <c r="J205" s="57">
        <f>IF(H205="","",IF(LOWER(A205)="gl",H205-2,IF(H205&gt;=60,H205-5,IF(AND(H205&gt;=50,H205&lt;60),H205-4,IF(AND(H205&gt;=10,H205&lt;50),H205-3,H205)))))</f>
        <v/>
      </c>
      <c r="K205" s="57" t="n"/>
    </row>
    <row r="206" ht="15" customHeight="1">
      <c r="A206" s="10" t="n"/>
      <c r="B206" s="2" t="n">
        <v>203</v>
      </c>
      <c r="C206" s="3" t="n"/>
      <c r="D206" s="2" t="inlineStr">
        <is>
          <t>G</t>
        </is>
      </c>
      <c r="E206" s="2" t="n">
        <v>50</v>
      </c>
      <c r="F206" s="5">
        <f>IF(E206="","",E206*1000)</f>
        <v/>
      </c>
      <c r="G206" s="23" t="n">
        <v>29.4</v>
      </c>
      <c r="H206" s="56">
        <f>IF(I206&lt;&gt;"",I206,IF(G206="","",IF(ROUND(MOD(G206,1),1)&lt;=0.4,INT(G206)-1,INT(G206))))</f>
        <v/>
      </c>
      <c r="I206" s="56" t="n"/>
      <c r="J206" s="57">
        <f>IF(H206="","",IF(LOWER(A206)="gl",H206-2,IF(H206&gt;=60,H206-5,IF(AND(H206&gt;=50,H206&lt;60),H206-4,IF(AND(H206&gt;=10,H206&lt;50),H206-3,H206)))))</f>
        <v/>
      </c>
      <c r="K206" s="57" t="n"/>
    </row>
    <row r="207" ht="15" customHeight="1">
      <c r="A207" s="10" t="n"/>
      <c r="B207" s="2" t="n">
        <v>204</v>
      </c>
      <c r="C207" s="3" t="n"/>
      <c r="D207" s="3" t="n"/>
      <c r="E207" s="2" t="n">
        <v>57</v>
      </c>
      <c r="F207" s="5">
        <f>IF(E207="","",E207*1000)</f>
        <v/>
      </c>
      <c r="G207" s="23" t="n">
        <v>36.9</v>
      </c>
      <c r="H207" s="56">
        <f>IF(I207&lt;&gt;"",I207,IF(G207="","",IF(ROUND(MOD(G207,1),1)&lt;=0.4,INT(G207)-1,INT(G207))))</f>
        <v/>
      </c>
      <c r="I207" s="56" t="n"/>
      <c r="J207" s="57">
        <f>IF(H207="","",IF(LOWER(A207)="gl",H207-2,IF(H207&gt;=60,H207-5,IF(AND(H207&gt;=50,H207&lt;60),H207-4,IF(AND(H207&gt;=10,H207&lt;50),H207-3,H207)))))</f>
        <v/>
      </c>
      <c r="K207" s="57" t="n"/>
    </row>
    <row r="208" ht="15" customHeight="1" thickBot="1">
      <c r="A208" s="35" t="n"/>
      <c r="B208" s="35" t="n">
        <v>205</v>
      </c>
      <c r="C208" s="36" t="n"/>
      <c r="D208" s="36" t="n"/>
      <c r="E208" s="35" t="n">
        <v>55</v>
      </c>
      <c r="F208" s="37">
        <f>IF(E208="","",E208*1000)</f>
        <v/>
      </c>
      <c r="G208" s="34" t="n">
        <v>34</v>
      </c>
      <c r="H208" s="56">
        <f>IF(I208&lt;&gt;"",I208,IF(G208="","",IF(ROUND(MOD(G208,1),1)&lt;=0.4,INT(G208)-1,INT(G208))))</f>
        <v/>
      </c>
      <c r="I208" s="56" t="n"/>
      <c r="J208" s="57">
        <f>IF(H208="","",IF(LOWER(A208)="gl",H208-2,IF(H208&gt;=60,H208-5,IF(AND(H208&gt;=50,H208&lt;60),H208-4,IF(AND(H208&gt;=10,H208&lt;50),H208-3,H208)))))</f>
        <v/>
      </c>
      <c r="K208" s="57" t="n"/>
    </row>
    <row r="209" ht="15" customHeight="1">
      <c r="A209" s="10" t="n"/>
      <c r="B209" s="10" t="n">
        <v>206</v>
      </c>
      <c r="C209" s="11" t="n"/>
      <c r="D209" s="11" t="inlineStr">
        <is>
          <t>Zakir</t>
        </is>
      </c>
      <c r="E209" s="10" t="n">
        <v>37</v>
      </c>
      <c r="F209" s="13">
        <f>IF(E209="","",E209*1000)</f>
        <v/>
      </c>
      <c r="G209" s="27" t="n">
        <v>45.5</v>
      </c>
      <c r="H209" s="56">
        <f>IF(I209&lt;&gt;"",I209,IF(G209="","",IF(ROUND(MOD(G209,1),1)&lt;=0.4,INT(G209)-1,INT(G209))))</f>
        <v/>
      </c>
      <c r="I209" s="56" t="n"/>
      <c r="J209" s="57">
        <f>IF(H209="","",IF(LOWER(A209)="gl",H209-2,IF(H209&gt;=60,H209-5,IF(AND(H209&gt;=50,H209&lt;60),H209-4,IF(AND(H209&gt;=10,H209&lt;50),H209-3,H209)))))</f>
        <v/>
      </c>
      <c r="K209" s="57" t="n"/>
    </row>
    <row r="210" ht="15" customHeight="1" thickBot="1">
      <c r="A210" s="35" t="n"/>
      <c r="B210" s="35" t="n">
        <v>207</v>
      </c>
      <c r="C210" s="36" t="n"/>
      <c r="D210" s="36" t="inlineStr">
        <is>
          <t>(11/8/26)</t>
        </is>
      </c>
      <c r="E210" s="35" t="n">
        <v>37</v>
      </c>
      <c r="F210" s="37">
        <f>IF(E210="","",E210*1000)</f>
        <v/>
      </c>
      <c r="G210" s="34" t="n">
        <v>46.7</v>
      </c>
      <c r="H210" s="56">
        <f>IF(I210&lt;&gt;"",I210,IF(G210="","",IF(ROUND(MOD(G210,1),1)&lt;=0.4,INT(G210)-1,INT(G210))))</f>
        <v/>
      </c>
      <c r="I210" s="56" t="n"/>
      <c r="J210" s="57">
        <f>IF(H210="","",IF(LOWER(A210)="gl",H210-2,IF(H210&gt;=60,H210-5,IF(AND(H210&gt;=50,H210&lt;60),H210-4,IF(AND(H210&gt;=10,H210&lt;50),H210-3,H210)))))</f>
        <v/>
      </c>
      <c r="K210" s="57" t="n"/>
    </row>
    <row r="211" ht="15" customHeight="1">
      <c r="A211" s="10" t="n"/>
      <c r="B211" s="10" t="n">
        <v>208</v>
      </c>
      <c r="C211" s="11" t="n"/>
      <c r="D211" s="11" t="inlineStr">
        <is>
          <t>H. Hanan (2)</t>
        </is>
      </c>
      <c r="E211" s="10" t="n">
        <v>45</v>
      </c>
      <c r="F211" s="13">
        <f>IF(E211="","",E211*1000)</f>
        <v/>
      </c>
      <c r="G211" s="27" t="n">
        <v>37.2</v>
      </c>
      <c r="H211" s="56">
        <f>IF(I211&lt;&gt;"",I211,IF(G211="","",IF(ROUND(MOD(G211,1),1)&lt;=0.4,INT(G211)-1,INT(G211))))</f>
        <v/>
      </c>
      <c r="I211" s="56" t="n"/>
      <c r="J211" s="57">
        <f>IF(H211="","",IF(LOWER(A211)="gl",H211-2,IF(H211&gt;=60,H211-5,IF(AND(H211&gt;=50,H211&lt;60),H211-4,IF(AND(H211&gt;=10,H211&lt;50),H211-3,H211)))))</f>
        <v/>
      </c>
      <c r="K211" s="57" t="n"/>
    </row>
    <row r="212" ht="15" customHeight="1">
      <c r="A212" s="10" t="n"/>
      <c r="B212" s="2" t="n">
        <v>209</v>
      </c>
      <c r="C212" s="3" t="n"/>
      <c r="D212" s="18" t="inlineStr">
        <is>
          <t>(11/8/26)</t>
        </is>
      </c>
      <c r="E212" s="2" t="n">
        <v>45</v>
      </c>
      <c r="F212" s="5">
        <f>IF(E212="","",E212*1000)</f>
        <v/>
      </c>
      <c r="G212" s="23" t="n">
        <v>38.1</v>
      </c>
      <c r="H212" s="56">
        <f>IF(I212&lt;&gt;"",I212,IF(G212="","",IF(ROUND(MOD(G212,1),1)&lt;=0.4,INT(G212)-1,INT(G212))))</f>
        <v/>
      </c>
      <c r="I212" s="56" t="n"/>
      <c r="J212" s="57">
        <f>IF(H212="","",IF(LOWER(A212)="gl",H212-2,IF(H212&gt;=60,H212-5,IF(AND(H212&gt;=50,H212&lt;60),H212-4,IF(AND(H212&gt;=10,H212&lt;50),H212-3,H212)))))</f>
        <v/>
      </c>
      <c r="K212" s="57" t="n"/>
    </row>
    <row r="213" ht="15" customHeight="1">
      <c r="A213" s="10" t="n"/>
      <c r="B213" s="2" t="n">
        <v>210</v>
      </c>
      <c r="C213" s="3" t="n"/>
      <c r="D213" s="3" t="n"/>
      <c r="E213" s="2" t="n">
        <v>47</v>
      </c>
      <c r="F213" s="5">
        <f>IF(E213="","",E213*1000)</f>
        <v/>
      </c>
      <c r="G213" s="23" t="n">
        <v>38.6</v>
      </c>
      <c r="H213" s="56">
        <f>IF(I213&lt;&gt;"",I213,IF(G213="","",IF(ROUND(MOD(G213,1),1)&lt;=0.4,INT(G213)-1,INT(G213))))</f>
        <v/>
      </c>
      <c r="I213" s="56" t="n"/>
      <c r="J213" s="57">
        <f>IF(H213="","",IF(LOWER(A213)="gl",H213-2,IF(H213&gt;=60,H213-5,IF(AND(H213&gt;=50,H213&lt;60),H213-4,IF(AND(H213&gt;=10,H213&lt;50),H213-3,H213)))))</f>
        <v/>
      </c>
      <c r="K213" s="57" t="n"/>
    </row>
    <row r="214" ht="15" customHeight="1" thickBot="1">
      <c r="A214" s="35" t="n"/>
      <c r="B214" s="35" t="n">
        <v>211</v>
      </c>
      <c r="C214" s="36" t="n"/>
      <c r="D214" s="36" t="n"/>
      <c r="E214" s="35" t="n">
        <v>47</v>
      </c>
      <c r="F214" s="37">
        <f>IF(E214="","",E214*1000)</f>
        <v/>
      </c>
      <c r="G214" s="34" t="n">
        <v>35.4</v>
      </c>
      <c r="H214" s="56">
        <f>IF(I214&lt;&gt;"",I214,IF(G214="","",IF(ROUND(MOD(G214,1),1)&lt;=0.4,INT(G214)-1,INT(G214))))</f>
        <v/>
      </c>
      <c r="I214" s="56" t="n"/>
      <c r="J214" s="57">
        <f>IF(H214="","",IF(LOWER(A214)="gl",H214-2,IF(H214&gt;=60,H214-5,IF(AND(H214&gt;=50,H214&lt;60),H214-4,IF(AND(H214&gt;=10,H214&lt;50),H214-3,H214)))))</f>
        <v/>
      </c>
      <c r="K214" s="57" t="n"/>
    </row>
    <row r="215" ht="15" customHeight="1">
      <c r="A215" s="10" t="inlineStr">
        <is>
          <t>gl</t>
        </is>
      </c>
      <c r="B215" s="10" t="n">
        <v>212</v>
      </c>
      <c r="C215" s="11" t="n"/>
      <c r="D215" s="11" t="inlineStr">
        <is>
          <t>Amir</t>
        </is>
      </c>
      <c r="E215" s="10" t="n">
        <v>53</v>
      </c>
      <c r="F215" s="13">
        <f>IF(E215="","",E215*1000)</f>
        <v/>
      </c>
      <c r="G215" s="27" t="n">
        <v>45.1</v>
      </c>
      <c r="H215" s="56">
        <f>IF(I215&lt;&gt;"",I215,IF(G215="","",IF(ROUND(MOD(G215,1),1)&lt;=0.4,INT(G215)-1,INT(G215))))</f>
        <v/>
      </c>
      <c r="I215" s="56" t="n"/>
      <c r="J215" s="57">
        <f>IF(H215="","",IF(LOWER(A215)="gl",H215-2,IF(H215&gt;=60,H215-5,IF(AND(H215&gt;=50,H215&lt;60),H215-4,IF(AND(H215&gt;=10,H215&lt;50),H215-3,H215)))))</f>
        <v/>
      </c>
      <c r="K215" s="57" t="n"/>
    </row>
    <row r="216" ht="15" customHeight="1">
      <c r="A216" s="10" t="inlineStr">
        <is>
          <t>gl</t>
        </is>
      </c>
      <c r="B216" s="2" t="n">
        <v>213</v>
      </c>
      <c r="C216" s="3" t="n"/>
      <c r="D216" s="18" t="inlineStr">
        <is>
          <t>(12/8/26)</t>
        </is>
      </c>
      <c r="E216" s="2" t="n">
        <v>53</v>
      </c>
      <c r="F216" s="5">
        <f>IF(E216="","",E216*1000)</f>
        <v/>
      </c>
      <c r="G216" s="23" t="n">
        <v>47.3</v>
      </c>
      <c r="H216" s="56">
        <f>IF(I216&lt;&gt;"",I216,IF(G216="","",IF(ROUND(MOD(G216,1),1)&lt;=0.4,INT(G216)-1,INT(G216))))</f>
        <v/>
      </c>
      <c r="I216" s="56" t="n"/>
      <c r="J216" s="57">
        <f>IF(H216="","",IF(LOWER(A216)="gl",H216-2,IF(H216&gt;=60,H216-5,IF(AND(H216&gt;=50,H216&lt;60),H216-4,IF(AND(H216&gt;=10,H216&lt;50),H216-3,H216)))))</f>
        <v/>
      </c>
      <c r="K216" s="57" t="n"/>
    </row>
    <row r="217" ht="15" customHeight="1">
      <c r="A217" s="10" t="inlineStr">
        <is>
          <t>gl</t>
        </is>
      </c>
      <c r="B217" s="2" t="n">
        <v>214</v>
      </c>
      <c r="C217" s="3" t="n"/>
      <c r="D217" s="3" t="inlineStr">
        <is>
          <t>Ambender</t>
        </is>
      </c>
      <c r="E217" s="2" t="n">
        <v>60</v>
      </c>
      <c r="F217" s="5">
        <f>IF(E217="","",E217*1000)</f>
        <v/>
      </c>
      <c r="G217" s="23" t="n">
        <v>30.6</v>
      </c>
      <c r="H217" s="56">
        <f>IF(I217&lt;&gt;"",I217,IF(G217="","",IF(ROUND(MOD(G217,1),1)&lt;=0.4,INT(G217)-1,INT(G217))))</f>
        <v/>
      </c>
      <c r="I217" s="56" t="n"/>
      <c r="J217" s="57">
        <f>IF(H217="","",IF(LOWER(A217)="gl",H217-2,IF(H217&gt;=60,H217-5,IF(AND(H217&gt;=50,H217&lt;60),H217-4,IF(AND(H217&gt;=10,H217&lt;50),H217-3,H217)))))</f>
        <v/>
      </c>
      <c r="K217" s="57" t="n"/>
    </row>
    <row r="218" ht="15" customHeight="1">
      <c r="A218" s="10" t="inlineStr">
        <is>
          <t>gl</t>
        </is>
      </c>
      <c r="B218" s="2" t="n">
        <v>215</v>
      </c>
      <c r="C218" s="3" t="n"/>
      <c r="D218" s="3" t="n"/>
      <c r="E218" s="2" t="n">
        <v>60</v>
      </c>
      <c r="F218" s="5">
        <f>IF(E218="","",E218*1000)</f>
        <v/>
      </c>
      <c r="G218" s="23" t="n">
        <v>25.1</v>
      </c>
      <c r="H218" s="56">
        <f>IF(I218&lt;&gt;"",I218,IF(G218="","",IF(ROUND(MOD(G218,1),1)&lt;=0.4,INT(G218)-1,INT(G218))))</f>
        <v/>
      </c>
      <c r="I218" s="56" t="n"/>
      <c r="J218" s="57">
        <f>IF(H218="","",IF(LOWER(A218)="gl",H218-2,IF(H218&gt;=60,H218-5,IF(AND(H218&gt;=50,H218&lt;60),H218-4,IF(AND(H218&gt;=10,H218&lt;50),H218-3,H218)))))</f>
        <v/>
      </c>
      <c r="K218" s="57" t="n"/>
    </row>
    <row r="219" ht="15" customHeight="1">
      <c r="A219" s="10" t="inlineStr">
        <is>
          <t>gl</t>
        </is>
      </c>
      <c r="B219" s="2" t="n">
        <v>216</v>
      </c>
      <c r="C219" s="3" t="n"/>
      <c r="D219" s="3" t="n"/>
      <c r="E219" s="2" t="n">
        <v>63</v>
      </c>
      <c r="F219" s="5">
        <f>IF(E219="","",E219*1000)</f>
        <v/>
      </c>
      <c r="G219" s="23" t="n">
        <v>39.1</v>
      </c>
      <c r="H219" s="56">
        <f>IF(I219&lt;&gt;"",I219,IF(G219="","",IF(ROUND(MOD(G219,1),1)&lt;=0.4,INT(G219)-1,INT(G219))))</f>
        <v/>
      </c>
      <c r="I219" s="56" t="n"/>
      <c r="J219" s="57">
        <f>IF(H219="","",IF(LOWER(A219)="gl",H219-2,IF(H219&gt;=60,H219-5,IF(AND(H219&gt;=50,H219&lt;60),H219-4,IF(AND(H219&gt;=10,H219&lt;50),H219-3,H219)))))</f>
        <v/>
      </c>
      <c r="K219" s="57" t="n"/>
    </row>
    <row r="220" ht="15" customHeight="1">
      <c r="A220" s="10" t="inlineStr">
        <is>
          <t>gl</t>
        </is>
      </c>
      <c r="B220" s="2" t="n">
        <v>217</v>
      </c>
      <c r="C220" s="3" t="n"/>
      <c r="D220" s="3" t="n"/>
      <c r="E220" s="2" t="n">
        <v>63</v>
      </c>
      <c r="F220" s="5">
        <f>IF(E220="","",E220*1000)</f>
        <v/>
      </c>
      <c r="G220" s="23" t="n">
        <v>41</v>
      </c>
      <c r="H220" s="56">
        <f>IF(I220&lt;&gt;"",I220,IF(G220="","",IF(ROUND(MOD(G220,1),1)&lt;=0.4,INT(G220)-1,INT(G220))))</f>
        <v/>
      </c>
      <c r="I220" s="56" t="n"/>
      <c r="J220" s="57">
        <f>IF(H220="","",IF(LOWER(A220)="gl",H220-2,IF(H220&gt;=60,H220-5,IF(AND(H220&gt;=50,H220&lt;60),H220-4,IF(AND(H220&gt;=10,H220&lt;50),H220-3,H220)))))</f>
        <v/>
      </c>
      <c r="K220" s="57" t="n"/>
    </row>
    <row r="221" ht="15" customHeight="1">
      <c r="A221" s="10" t="inlineStr">
        <is>
          <t>gl</t>
        </is>
      </c>
      <c r="B221" s="2" t="n">
        <v>218</v>
      </c>
      <c r="C221" s="3" t="n"/>
      <c r="D221" s="3" t="n"/>
      <c r="E221" s="2" t="n">
        <v>53</v>
      </c>
      <c r="F221" s="5">
        <f>IF(E221="","",E221*1000)</f>
        <v/>
      </c>
      <c r="G221" s="23" t="n">
        <v>47.2</v>
      </c>
      <c r="H221" s="56">
        <f>IF(I221&lt;&gt;"",I221,IF(G221="","",IF(ROUND(MOD(G221,1),1)&lt;=0.4,INT(G221)-1,INT(G221))))</f>
        <v/>
      </c>
      <c r="I221" s="56" t="n"/>
      <c r="J221" s="57">
        <f>IF(H221="","",IF(LOWER(A221)="gl",H221-2,IF(H221&gt;=60,H221-5,IF(AND(H221&gt;=50,H221&lt;60),H221-4,IF(AND(H221&gt;=10,H221&lt;50),H221-3,H221)))))</f>
        <v/>
      </c>
      <c r="K221" s="57" t="n"/>
    </row>
    <row r="222" ht="15" customHeight="1">
      <c r="A222" s="10" t="inlineStr">
        <is>
          <t>gl</t>
        </is>
      </c>
      <c r="B222" s="2" t="n">
        <v>219</v>
      </c>
      <c r="C222" s="3" t="n"/>
      <c r="D222" s="3" t="n"/>
      <c r="E222" s="2" t="n">
        <v>53</v>
      </c>
      <c r="F222" s="5">
        <f>IF(E222="","",E222*1000)</f>
        <v/>
      </c>
      <c r="G222" s="23" t="n">
        <v>45.9</v>
      </c>
      <c r="H222" s="56">
        <f>IF(I222&lt;&gt;"",I222,IF(G222="","",IF(ROUND(MOD(G222,1),1)&lt;=0.4,INT(G222)-1,INT(G222))))</f>
        <v/>
      </c>
      <c r="I222" s="56" t="n"/>
      <c r="J222" s="57">
        <f>IF(H222="","",IF(LOWER(A222)="gl",H222-2,IF(H222&gt;=60,H222-5,IF(AND(H222&gt;=50,H222&lt;60),H222-4,IF(AND(H222&gt;=10,H222&lt;50),H222-3,H222)))))</f>
        <v/>
      </c>
      <c r="K222" s="57" t="n"/>
    </row>
    <row r="223" ht="15" customHeight="1">
      <c r="A223" s="10" t="inlineStr">
        <is>
          <t>gl</t>
        </is>
      </c>
      <c r="B223" s="2" t="n">
        <v>220</v>
      </c>
      <c r="C223" s="3" t="n"/>
      <c r="D223" s="3" t="n"/>
      <c r="E223" s="2" t="n">
        <v>60</v>
      </c>
      <c r="F223" s="5">
        <f>IF(E223="","",E223*1000)</f>
        <v/>
      </c>
      <c r="G223" s="23" t="n">
        <v>36.2</v>
      </c>
      <c r="H223" s="56">
        <f>IF(I223&lt;&gt;"",I223,IF(G223="","",IF(ROUND(MOD(G223,1),1)&lt;=0.4,INT(G223)-1,INT(G223))))</f>
        <v/>
      </c>
      <c r="I223" s="56" t="n"/>
      <c r="J223" s="57">
        <f>IF(H223="","",IF(LOWER(A223)="gl",H223-2,IF(H223&gt;=60,H223-5,IF(AND(H223&gt;=50,H223&lt;60),H223-4,IF(AND(H223&gt;=10,H223&lt;50),H223-3,H223)))))</f>
        <v/>
      </c>
      <c r="K223" s="57" t="n"/>
    </row>
    <row r="224" ht="15" customHeight="1">
      <c r="A224" s="10" t="inlineStr">
        <is>
          <t>gl</t>
        </is>
      </c>
      <c r="B224" s="2" t="n">
        <v>221</v>
      </c>
      <c r="C224" s="3" t="n"/>
      <c r="D224" s="3" t="n"/>
      <c r="E224" s="2" t="n">
        <v>60</v>
      </c>
      <c r="F224" s="5">
        <f>IF(E224="","",E224*1000)</f>
        <v/>
      </c>
      <c r="G224" s="23" t="n">
        <v>41.8</v>
      </c>
      <c r="H224" s="56">
        <f>IF(I224&lt;&gt;"",I224,IF(G224="","",IF(ROUND(MOD(G224,1),1)&lt;=0.4,INT(G224)-1,INT(G224))))</f>
        <v/>
      </c>
      <c r="I224" s="56" t="n"/>
      <c r="J224" s="57">
        <f>IF(H224="","",IF(LOWER(A224)="gl",H224-2,IF(H224&gt;=60,H224-5,IF(AND(H224&gt;=50,H224&lt;60),H224-4,IF(AND(H224&gt;=10,H224&lt;50),H224-3,H224)))))</f>
        <v/>
      </c>
      <c r="K224" s="57" t="n"/>
    </row>
    <row r="225" ht="15" customHeight="1">
      <c r="A225" s="10" t="inlineStr">
        <is>
          <t>gl</t>
        </is>
      </c>
      <c r="B225" s="2" t="n">
        <v>222</v>
      </c>
      <c r="C225" s="3" t="n"/>
      <c r="D225" s="3" t="n"/>
      <c r="E225" s="2" t="n">
        <v>48</v>
      </c>
      <c r="F225" s="5">
        <f>IF(E225="","",E225*1000)</f>
        <v/>
      </c>
      <c r="G225" s="23" t="n">
        <v>42</v>
      </c>
      <c r="H225" s="56">
        <f>IF(I225&lt;&gt;"",I225,IF(G225="","",IF(ROUND(MOD(G225,1),1)&lt;=0.4,INT(G225)-1,INT(G225))))</f>
        <v/>
      </c>
      <c r="I225" s="56" t="n"/>
      <c r="J225" s="57">
        <f>IF(H225="","",IF(LOWER(A225)="gl",H225-2,IF(H225&gt;=60,H225-5,IF(AND(H225&gt;=50,H225&lt;60),H225-4,IF(AND(H225&gt;=10,H225&lt;50),H225-3,H225)))))</f>
        <v/>
      </c>
      <c r="K225" s="57" t="n"/>
    </row>
    <row r="226" ht="15" customHeight="1">
      <c r="A226" s="10" t="inlineStr">
        <is>
          <t>gl</t>
        </is>
      </c>
      <c r="B226" s="2" t="n">
        <v>223</v>
      </c>
      <c r="C226" s="3" t="n"/>
      <c r="D226" s="3" t="n"/>
      <c r="E226" s="2" t="n">
        <v>48</v>
      </c>
      <c r="F226" s="5">
        <f>IF(E226="","",E226*1000)</f>
        <v/>
      </c>
      <c r="G226" s="23" t="n">
        <v>43.9</v>
      </c>
      <c r="H226" s="56">
        <f>IF(I226&lt;&gt;"",I226,IF(G226="","",IF(ROUND(MOD(G226,1),1)&lt;=0.4,INT(G226)-1,INT(G226))))</f>
        <v/>
      </c>
      <c r="I226" s="56" t="n"/>
      <c r="J226" s="57">
        <f>IF(H226="","",IF(LOWER(A226)="gl",H226-2,IF(H226&gt;=60,H226-5,IF(AND(H226&gt;=50,H226&lt;60),H226-4,IF(AND(H226&gt;=10,H226&lt;50),H226-3,H226)))))</f>
        <v/>
      </c>
      <c r="K226" s="57" t="n"/>
      <c r="M226" s="52" t="n"/>
    </row>
    <row r="227" ht="15" customHeight="1">
      <c r="A227" s="10" t="inlineStr">
        <is>
          <t>gl</t>
        </is>
      </c>
      <c r="B227" s="2" t="n">
        <v>224</v>
      </c>
      <c r="C227" s="3" t="n"/>
      <c r="D227" s="3" t="n"/>
      <c r="E227" s="2" t="n">
        <v>48</v>
      </c>
      <c r="F227" s="5">
        <f>IF(E227="","",E227*1000)</f>
        <v/>
      </c>
      <c r="G227" s="23" t="n">
        <v>46.3</v>
      </c>
      <c r="H227" s="56">
        <f>IF(I227&lt;&gt;"",I227,IF(G227="","",IF(ROUND(MOD(G227,1),1)&lt;=0.4,INT(G227)-1,INT(G227))))</f>
        <v/>
      </c>
      <c r="I227" s="56" t="n"/>
      <c r="J227" s="57">
        <f>IF(H227="","",IF(LOWER(A227)="gl",H227-2,IF(H227&gt;=60,H227-5,IF(AND(H227&gt;=50,H227&lt;60),H227-4,IF(AND(H227&gt;=10,H227&lt;50),H227-3,H227)))))</f>
        <v/>
      </c>
      <c r="K227" s="57" t="n"/>
    </row>
    <row r="228" ht="15" customHeight="1">
      <c r="A228" s="10" t="inlineStr">
        <is>
          <t>gl</t>
        </is>
      </c>
      <c r="B228" s="2" t="n">
        <v>225</v>
      </c>
      <c r="C228" s="3" t="n"/>
      <c r="D228" s="3" t="n"/>
      <c r="E228" s="2" t="n">
        <v>48</v>
      </c>
      <c r="F228" s="5">
        <f>IF(E228="","",E228*1000)</f>
        <v/>
      </c>
      <c r="G228" s="23" t="n">
        <v>45.7</v>
      </c>
      <c r="H228" s="56">
        <f>IF(I228&lt;&gt;"",I228,IF(G228="","",IF(ROUND(MOD(G228,1),1)&lt;=0.4,INT(G228)-1,INT(G228))))</f>
        <v/>
      </c>
      <c r="I228" s="56" t="n"/>
      <c r="J228" s="57">
        <f>IF(H228="","",IF(LOWER(A228)="gl",H228-2,IF(H228&gt;=60,H228-5,IF(AND(H228&gt;=50,H228&lt;60),H228-4,IF(AND(H228&gt;=10,H228&lt;50),H228-3,H228)))))</f>
        <v/>
      </c>
      <c r="K228" s="57" t="n"/>
    </row>
    <row r="229" ht="15" customHeight="1">
      <c r="A229" s="10" t="inlineStr">
        <is>
          <t>gl</t>
        </is>
      </c>
      <c r="B229" s="2" t="n">
        <v>226</v>
      </c>
      <c r="C229" s="3" t="n"/>
      <c r="D229" s="3" t="n"/>
      <c r="E229" s="2" t="n">
        <v>48</v>
      </c>
      <c r="F229" s="5">
        <f>IF(E229="","",E229*1000)</f>
        <v/>
      </c>
      <c r="G229" s="23" t="n">
        <v>36</v>
      </c>
      <c r="H229" s="56">
        <f>IF(I229&lt;&gt;"",I229,IF(G229="","",IF(ROUND(MOD(G229,1),1)&lt;=0.4,INT(G229)-1,INT(G229))))</f>
        <v/>
      </c>
      <c r="I229" s="56" t="n"/>
      <c r="J229" s="57">
        <f>IF(H229="","",IF(LOWER(A229)="gl",H229-2,IF(H229&gt;=60,H229-5,IF(AND(H229&gt;=50,H229&lt;60),H229-4,IF(AND(H229&gt;=10,H229&lt;50),H229-3,H229)))))</f>
        <v/>
      </c>
      <c r="K229" s="57" t="n"/>
    </row>
    <row r="230" ht="15" customHeight="1">
      <c r="A230" s="10" t="inlineStr">
        <is>
          <t>gl</t>
        </is>
      </c>
      <c r="B230" s="2" t="n">
        <v>227</v>
      </c>
      <c r="C230" s="3" t="n"/>
      <c r="D230" s="3" t="n"/>
      <c r="E230" s="2" t="n">
        <v>48</v>
      </c>
      <c r="F230" s="5">
        <f>IF(E230="","",E230*1000)</f>
        <v/>
      </c>
      <c r="G230" s="23" t="n">
        <v>33.8</v>
      </c>
      <c r="H230" s="56">
        <f>IF(I230&lt;&gt;"",I230,IF(G230="","",IF(ROUND(MOD(G230,1),1)&lt;=0.4,INT(G230)-1,INT(G230))))</f>
        <v/>
      </c>
      <c r="I230" s="56" t="n"/>
      <c r="J230" s="57">
        <f>IF(H230="","",IF(LOWER(A230)="gl",H230-2,IF(H230&gt;=60,H230-5,IF(AND(H230&gt;=50,H230&lt;60),H230-4,IF(AND(H230&gt;=10,H230&lt;50),H230-3,H230)))))</f>
        <v/>
      </c>
      <c r="K230" s="57" t="n"/>
    </row>
    <row r="231" ht="15" customHeight="1">
      <c r="A231" s="10" t="inlineStr">
        <is>
          <t>gl</t>
        </is>
      </c>
      <c r="B231" s="2" t="n">
        <v>228</v>
      </c>
      <c r="C231" s="3" t="n"/>
      <c r="D231" s="3" t="n"/>
      <c r="E231" s="2" t="n">
        <v>48</v>
      </c>
      <c r="F231" s="5">
        <f>IF(E231="","",E231*1000)</f>
        <v/>
      </c>
      <c r="G231" s="23" t="n">
        <v>41</v>
      </c>
      <c r="H231" s="56">
        <f>IF(I231&lt;&gt;"",I231,IF(G231="","",IF(ROUND(MOD(G231,1),1)&lt;=0.4,INT(G231)-1,INT(G231))))</f>
        <v/>
      </c>
      <c r="I231" s="56" t="n"/>
      <c r="J231" s="57">
        <f>IF(H231="","",IF(LOWER(A231)="gl",H231-2,IF(H231&gt;=60,H231-5,IF(AND(H231&gt;=50,H231&lt;60),H231-4,IF(AND(H231&gt;=10,H231&lt;50),H231-3,H231)))))</f>
        <v/>
      </c>
      <c r="K231" s="57" t="n"/>
    </row>
    <row r="232" ht="15" customHeight="1" thickBot="1">
      <c r="A232" s="35" t="inlineStr">
        <is>
          <t>gl</t>
        </is>
      </c>
      <c r="B232" s="35" t="n">
        <v>229</v>
      </c>
      <c r="C232" s="36" t="n"/>
      <c r="D232" s="36" t="n"/>
      <c r="E232" s="35" t="n">
        <v>42</v>
      </c>
      <c r="F232" s="37">
        <f>IF(E232="","",E232*1000)</f>
        <v/>
      </c>
      <c r="G232" s="34" t="n">
        <v>34.3</v>
      </c>
      <c r="H232" s="56">
        <f>IF(I232&lt;&gt;"",I232,IF(G232="","",IF(ROUND(MOD(G232,1),1)&lt;=0.4,INT(G232)-1,INT(G232))))</f>
        <v/>
      </c>
      <c r="I232" s="56" t="n"/>
      <c r="J232" s="57">
        <f>IF(H232="","",IF(LOWER(A232)="gl",H232-2,IF(H232&gt;=60,H232-5,IF(AND(H232&gt;=50,H232&lt;60),H232-4,IF(AND(H232&gt;=10,H232&lt;50),H232-3,H232)))))</f>
        <v/>
      </c>
      <c r="K232" s="57" t="n"/>
    </row>
    <row r="233" ht="15" customHeight="1">
      <c r="A233" s="10" t="inlineStr">
        <is>
          <t>gl</t>
        </is>
      </c>
      <c r="B233" s="10" t="n">
        <v>230</v>
      </c>
      <c r="C233" s="11" t="n"/>
      <c r="D233" s="11" t="inlineStr">
        <is>
          <t>Herman</t>
        </is>
      </c>
      <c r="E233" s="10" t="n">
        <v>61</v>
      </c>
      <c r="F233" s="13">
        <f>IF(E233="","",E233*1000)</f>
        <v/>
      </c>
      <c r="G233" s="27" t="n">
        <v>41.4</v>
      </c>
      <c r="H233" s="56">
        <f>IF(I233&lt;&gt;"",I233,IF(G233="","",IF(ROUND(MOD(G233,1),1)&lt;=0.4,INT(G233)-1,INT(G233))))</f>
        <v/>
      </c>
      <c r="I233" s="56" t="n"/>
      <c r="J233" s="57">
        <f>IF(H233="","",IF(LOWER(A233)="gl",H233-2,IF(H233&gt;=60,H233-5,IF(AND(H233&gt;=50,H233&lt;60),H233-4,IF(AND(H233&gt;=10,H233&lt;50),H233-3,H233)))))</f>
        <v/>
      </c>
      <c r="K233" s="57" t="n"/>
    </row>
    <row r="234" ht="15" customHeight="1">
      <c r="A234" s="10" t="inlineStr">
        <is>
          <t>gl</t>
        </is>
      </c>
      <c r="B234" s="2" t="n">
        <v>231</v>
      </c>
      <c r="C234" s="3" t="n"/>
      <c r="D234" s="18" t="inlineStr">
        <is>
          <t>(12/8/26)</t>
        </is>
      </c>
      <c r="E234" s="2" t="n">
        <v>62</v>
      </c>
      <c r="F234" s="5">
        <f>IF(E234="","",E234*1000)</f>
        <v/>
      </c>
      <c r="G234" s="23" t="n">
        <v>41.3</v>
      </c>
      <c r="H234" s="56">
        <f>IF(I234&lt;&gt;"",I234,IF(G234="","",IF(ROUND(MOD(G234,1),1)&lt;=0.4,INT(G234)-1,INT(G234))))</f>
        <v/>
      </c>
      <c r="I234" s="56" t="n"/>
      <c r="J234" s="57">
        <f>IF(H234="","",IF(LOWER(A234)="gl",H234-2,IF(H234&gt;=60,H234-5,IF(AND(H234&gt;=50,H234&lt;60),H234-4,IF(AND(H234&gt;=10,H234&lt;50),H234-3,H234)))))</f>
        <v/>
      </c>
      <c r="K234" s="57" t="n"/>
    </row>
    <row r="235" ht="15" customHeight="1">
      <c r="A235" s="10" t="inlineStr">
        <is>
          <t>gl</t>
        </is>
      </c>
      <c r="B235" s="2" t="n">
        <v>232</v>
      </c>
      <c r="C235" s="3" t="n"/>
      <c r="D235" s="3" t="inlineStr">
        <is>
          <t>Karang Penang</t>
        </is>
      </c>
      <c r="E235" s="2" t="n">
        <v>62</v>
      </c>
      <c r="F235" s="5">
        <f>IF(E235="","",E235*1000)</f>
        <v/>
      </c>
      <c r="G235" s="23" t="n">
        <v>42.4</v>
      </c>
      <c r="H235" s="56">
        <f>IF(I235&lt;&gt;"",I235,IF(G235="","",IF(ROUND(MOD(G235,1),1)&lt;=0.4,INT(G235)-1,INT(G235))))</f>
        <v/>
      </c>
      <c r="I235" s="56" t="n"/>
      <c r="J235" s="57">
        <f>IF(H235="","",IF(LOWER(A235)="gl",H235-2,IF(H235&gt;=60,H235-5,IF(AND(H235&gt;=50,H235&lt;60),H235-4,IF(AND(H235&gt;=10,H235&lt;50),H235-3,H235)))))</f>
        <v/>
      </c>
      <c r="K235" s="57" t="n"/>
    </row>
    <row r="236" ht="15" customHeight="1">
      <c r="A236" s="10" t="inlineStr">
        <is>
          <t>gl</t>
        </is>
      </c>
      <c r="B236" s="2" t="n">
        <v>233</v>
      </c>
      <c r="C236" s="3" t="n"/>
      <c r="D236" s="3" t="n"/>
      <c r="E236" s="2" t="n">
        <v>62</v>
      </c>
      <c r="F236" s="5">
        <f>IF(E236="","",E236*1000)</f>
        <v/>
      </c>
      <c r="G236" s="23" t="n">
        <v>45.8</v>
      </c>
      <c r="H236" s="56">
        <f>IF(I236&lt;&gt;"",I236,IF(G236="","",IF(ROUND(MOD(G236,1),1)&lt;=0.4,INT(G236)-1,INT(G236))))</f>
        <v/>
      </c>
      <c r="I236" s="56" t="n"/>
      <c r="J236" s="57">
        <f>IF(H236="","",IF(LOWER(A236)="gl",H236-2,IF(H236&gt;=60,H236-5,IF(AND(H236&gt;=50,H236&lt;60),H236-4,IF(AND(H236&gt;=10,H236&lt;50),H236-3,H236)))))</f>
        <v/>
      </c>
      <c r="K236" s="57" t="n"/>
    </row>
    <row r="237" ht="15" customHeight="1">
      <c r="A237" s="10" t="inlineStr">
        <is>
          <t>gl</t>
        </is>
      </c>
      <c r="B237" s="2" t="n">
        <v>234</v>
      </c>
      <c r="C237" s="3" t="n"/>
      <c r="D237" s="3" t="n"/>
      <c r="E237" s="2" t="n">
        <v>62</v>
      </c>
      <c r="F237" s="5">
        <f>IF(E237="","",E237*1000)</f>
        <v/>
      </c>
      <c r="G237" s="23" t="n">
        <v>43.8</v>
      </c>
      <c r="H237" s="56">
        <f>IF(I237&lt;&gt;"",I237,IF(G237="","",IF(ROUND(MOD(G237,1),1)&lt;=0.4,INT(G237)-1,INT(G237))))</f>
        <v/>
      </c>
      <c r="I237" s="56" t="n"/>
      <c r="J237" s="57">
        <f>IF(H237="","",IF(LOWER(A237)="gl",H237-2,IF(H237&gt;=60,H237-5,IF(AND(H237&gt;=50,H237&lt;60),H237-4,IF(AND(H237&gt;=10,H237&lt;50),H237-3,H237)))))</f>
        <v/>
      </c>
      <c r="K237" s="57" t="n"/>
    </row>
    <row r="238" ht="15" customHeight="1">
      <c r="A238" s="10" t="inlineStr">
        <is>
          <t>gl</t>
        </is>
      </c>
      <c r="B238" s="2" t="n">
        <v>235</v>
      </c>
      <c r="C238" s="3" t="n"/>
      <c r="D238" s="3" t="n"/>
      <c r="E238" s="2" t="n">
        <v>52</v>
      </c>
      <c r="F238" s="5">
        <f>IF(E238="","",E238*1000)</f>
        <v/>
      </c>
      <c r="G238" s="23" t="n">
        <v>40.6</v>
      </c>
      <c r="H238" s="56">
        <f>IF(I238&lt;&gt;"",I238,IF(G238="","",IF(ROUND(MOD(G238,1),1)&lt;=0.4,INT(G238)-1,INT(G238))))</f>
        <v/>
      </c>
      <c r="I238" s="56" t="n"/>
      <c r="J238" s="57">
        <f>IF(H238="","",IF(LOWER(A238)="gl",H238-2,IF(H238&gt;=60,H238-5,IF(AND(H238&gt;=50,H238&lt;60),H238-4,IF(AND(H238&gt;=10,H238&lt;50),H238-3,H238)))))</f>
        <v/>
      </c>
      <c r="K238" s="57" t="n"/>
    </row>
    <row r="239" ht="15" customHeight="1">
      <c r="A239" s="10" t="inlineStr">
        <is>
          <t>gl</t>
        </is>
      </c>
      <c r="B239" s="2" t="n">
        <v>236</v>
      </c>
      <c r="C239" s="3" t="n"/>
      <c r="D239" s="3" t="n"/>
      <c r="E239" s="2" t="n">
        <v>52</v>
      </c>
      <c r="F239" s="5">
        <f>IF(E239="","",E239*1000)</f>
        <v/>
      </c>
      <c r="G239" s="23" t="n">
        <v>31</v>
      </c>
      <c r="H239" s="56">
        <f>IF(I239&lt;&gt;"",I239,IF(G239="","",IF(ROUND(MOD(G239,1),1)&lt;=0.4,INT(G239)-1,INT(G239))))</f>
        <v/>
      </c>
      <c r="I239" s="56" t="n"/>
      <c r="J239" s="57">
        <f>IF(H239="","",IF(LOWER(A239)="gl",H239-2,IF(H239&gt;=60,H239-5,IF(AND(H239&gt;=50,H239&lt;60),H239-4,IF(AND(H239&gt;=10,H239&lt;50),H239-3,H239)))))</f>
        <v/>
      </c>
      <c r="K239" s="57" t="n"/>
    </row>
    <row r="240" ht="15" customHeight="1">
      <c r="A240" s="10" t="inlineStr">
        <is>
          <t>gl</t>
        </is>
      </c>
      <c r="B240" s="2" t="n">
        <v>237</v>
      </c>
      <c r="C240" s="3" t="n"/>
      <c r="D240" s="3" t="n"/>
      <c r="E240" s="2" t="n">
        <v>42</v>
      </c>
      <c r="F240" s="5">
        <f>IF(E240="","",E240*1000)</f>
        <v/>
      </c>
      <c r="G240" s="23" t="n">
        <v>26.9</v>
      </c>
      <c r="H240" s="56">
        <f>IF(I240&lt;&gt;"",I240,IF(G240="","",IF(ROUND(MOD(G240,1),1)&lt;=0.4,INT(G240)-1,INT(G240))))</f>
        <v/>
      </c>
      <c r="I240" s="56" t="n"/>
      <c r="J240" s="57">
        <f>IF(H240="","",IF(LOWER(A240)="gl",H240-2,IF(H240&gt;=60,H240-5,IF(AND(H240&gt;=50,H240&lt;60),H240-4,IF(AND(H240&gt;=10,H240&lt;50),H240-3,H240)))))</f>
        <v/>
      </c>
      <c r="K240" s="57" t="n"/>
    </row>
    <row r="241" ht="15" customHeight="1">
      <c r="A241" s="10" t="inlineStr">
        <is>
          <t>gl</t>
        </is>
      </c>
      <c r="B241" s="2" t="n">
        <v>238</v>
      </c>
      <c r="C241" s="3" t="n"/>
      <c r="D241" s="3" t="n"/>
      <c r="E241" s="2" t="n">
        <v>45</v>
      </c>
      <c r="F241" s="5">
        <f>IF(E241="","",E241*1000)</f>
        <v/>
      </c>
      <c r="G241" s="23" t="n">
        <v>29.8</v>
      </c>
      <c r="H241" s="56">
        <f>IF(I241&lt;&gt;"",I241,IF(G241="","",IF(ROUND(MOD(G241,1),1)&lt;=0.4,INT(G241)-1,INT(G241))))</f>
        <v/>
      </c>
      <c r="I241" s="56" t="n"/>
      <c r="J241" s="57">
        <f>IF(H241="","",IF(LOWER(A241)="gl",H241-2,IF(H241&gt;=60,H241-5,IF(AND(H241&gt;=50,H241&lt;60),H241-4,IF(AND(H241&gt;=10,H241&lt;50),H241-3,H241)))))</f>
        <v/>
      </c>
      <c r="K241" s="57" t="n"/>
    </row>
    <row r="242" ht="15" customHeight="1">
      <c r="A242" s="10" t="inlineStr">
        <is>
          <t>gl</t>
        </is>
      </c>
      <c r="B242" s="2" t="n">
        <v>239</v>
      </c>
      <c r="C242" s="3" t="n"/>
      <c r="D242" s="3" t="n"/>
      <c r="E242" s="2" t="n">
        <v>45</v>
      </c>
      <c r="F242" s="5">
        <f>IF(E242="","",E242*1000)</f>
        <v/>
      </c>
      <c r="G242" s="23" t="n">
        <v>40.9</v>
      </c>
      <c r="H242" s="56">
        <f>IF(I242&lt;&gt;"",I242,IF(G242="","",IF(ROUND(MOD(G242,1),1)&lt;=0.4,INT(G242)-1,INT(G242))))</f>
        <v/>
      </c>
      <c r="I242" s="56" t="n"/>
      <c r="J242" s="57">
        <f>IF(H242="","",IF(LOWER(A242)="gl",H242-2,IF(H242&gt;=60,H242-5,IF(AND(H242&gt;=50,H242&lt;60),H242-4,IF(AND(H242&gt;=10,H242&lt;50),H242-3,H242)))))</f>
        <v/>
      </c>
      <c r="K242" s="57" t="n"/>
    </row>
    <row r="243" ht="15" customHeight="1">
      <c r="A243" s="10" t="inlineStr">
        <is>
          <t>gl</t>
        </is>
      </c>
      <c r="B243" s="2" t="n">
        <v>240</v>
      </c>
      <c r="C243" s="3" t="n"/>
      <c r="D243" s="3" t="n"/>
      <c r="E243" s="2" t="n">
        <v>46</v>
      </c>
      <c r="F243" s="5">
        <f>IF(E243="","",E243*1000)</f>
        <v/>
      </c>
      <c r="G243" s="23" t="n">
        <v>43.4</v>
      </c>
      <c r="H243" s="56">
        <f>IF(I243&lt;&gt;"",I243,IF(G243="","",IF(ROUND(MOD(G243,1),1)&lt;=0.4,INT(G243)-1,INT(G243))))</f>
        <v/>
      </c>
      <c r="I243" s="56" t="n"/>
      <c r="J243" s="57">
        <f>IF(H243="","",IF(LOWER(A243)="gl",H243-2,IF(H243&gt;=60,H243-5,IF(AND(H243&gt;=50,H243&lt;60),H243-4,IF(AND(H243&gt;=10,H243&lt;50),H243-3,H243)))))</f>
        <v/>
      </c>
      <c r="K243" s="57" t="n"/>
    </row>
    <row r="244" ht="15" customHeight="1" thickBot="1">
      <c r="A244" s="35" t="inlineStr">
        <is>
          <t>gl</t>
        </is>
      </c>
      <c r="B244" s="35" t="n">
        <v>241</v>
      </c>
      <c r="C244" s="36" t="n"/>
      <c r="D244" s="36" t="n"/>
      <c r="E244" s="35" t="n">
        <v>46</v>
      </c>
      <c r="F244" s="37">
        <f>IF(E244="","",E244*1000)</f>
        <v/>
      </c>
      <c r="G244" s="34" t="n">
        <v>41.6</v>
      </c>
      <c r="H244" s="56">
        <f>IF(I244&lt;&gt;"",I244,IF(G244="","",IF(ROUND(MOD(G244,1),1)&lt;=0.4,INT(G244)-1,INT(G244))))</f>
        <v/>
      </c>
      <c r="I244" s="56" t="n"/>
      <c r="J244" s="57">
        <f>IF(H244="","",IF(LOWER(A244)="gl",H244-2,IF(H244&gt;=60,H244-5,IF(AND(H244&gt;=50,H244&lt;60),H244-4,IF(AND(H244&gt;=10,H244&lt;50),H244-3,H244)))))</f>
        <v/>
      </c>
      <c r="K244" s="57" t="n"/>
    </row>
    <row r="245" ht="15" customHeight="1">
      <c r="A245" s="10" t="inlineStr">
        <is>
          <t>gl</t>
        </is>
      </c>
      <c r="B245" s="10" t="n">
        <v>242</v>
      </c>
      <c r="C245" s="11" t="n"/>
      <c r="D245" s="11" t="inlineStr">
        <is>
          <t>Bahruddin</t>
        </is>
      </c>
      <c r="E245" s="10" t="n">
        <v>38</v>
      </c>
      <c r="F245" s="13">
        <f>IF(E245="","",E245*1000)</f>
        <v/>
      </c>
      <c r="G245" s="27" t="n">
        <v>41.5</v>
      </c>
      <c r="H245" s="56">
        <f>IF(I245&lt;&gt;"",I245,IF(G245="","",IF(ROUND(MOD(G245,1),1)&lt;=0.4,INT(G245)-1,INT(G245))))</f>
        <v/>
      </c>
      <c r="I245" s="56" t="n"/>
      <c r="J245" s="57">
        <f>IF(H245="","",IF(LOWER(A245)="gl",H245-2,IF(H245&gt;=60,H245-5,IF(AND(H245&gt;=50,H245&lt;60),H245-4,IF(AND(H245&gt;=10,H245&lt;50),H245-3,H245)))))</f>
        <v/>
      </c>
      <c r="K245" s="57" t="n"/>
    </row>
    <row r="246" ht="15" customHeight="1">
      <c r="A246" s="10" t="inlineStr">
        <is>
          <t>gl</t>
        </is>
      </c>
      <c r="B246" s="2" t="n">
        <v>243</v>
      </c>
      <c r="C246" s="3" t="n"/>
      <c r="D246" s="18" t="inlineStr">
        <is>
          <t>(12/8/26)</t>
        </is>
      </c>
      <c r="E246" s="2" t="n">
        <v>38</v>
      </c>
      <c r="F246" s="5">
        <f>IF(E246="","",E246*1000)</f>
        <v/>
      </c>
      <c r="G246" s="23" t="n">
        <v>46.8</v>
      </c>
      <c r="H246" s="56">
        <f>IF(I246&lt;&gt;"",I246,IF(G246="","",IF(ROUND(MOD(G246,1),1)&lt;=0.4,INT(G246)-1,INT(G246))))</f>
        <v/>
      </c>
      <c r="I246" s="56" t="n"/>
      <c r="J246" s="57">
        <f>IF(H246="","",IF(LOWER(A246)="gl",H246-2,IF(H246&gt;=60,H246-5,IF(AND(H246&gt;=50,H246&lt;60),H246-4,IF(AND(H246&gt;=10,H246&lt;50),H246-3,H246)))))</f>
        <v/>
      </c>
      <c r="K246" s="57" t="n"/>
    </row>
    <row r="247" ht="15" customHeight="1">
      <c r="A247" s="10" t="inlineStr">
        <is>
          <t>gl</t>
        </is>
      </c>
      <c r="B247" s="2" t="n">
        <v>244</v>
      </c>
      <c r="C247" s="3" t="n"/>
      <c r="D247" s="3" t="n"/>
      <c r="E247" s="2" t="n">
        <v>40</v>
      </c>
      <c r="F247" s="5">
        <f>IF(E247="","",E247*1000)</f>
        <v/>
      </c>
      <c r="G247" s="23" t="n">
        <v>44.8</v>
      </c>
      <c r="H247" s="56">
        <f>IF(I247&lt;&gt;"",I247,IF(G247="","",IF(ROUND(MOD(G247,1),1)&lt;=0.4,INT(G247)-1,INT(G247))))</f>
        <v/>
      </c>
      <c r="I247" s="56" t="n"/>
      <c r="J247" s="57">
        <f>IF(H247="","",IF(LOWER(A247)="gl",H247-2,IF(H247&gt;=60,H247-5,IF(AND(H247&gt;=50,H247&lt;60),H247-4,IF(AND(H247&gt;=10,H247&lt;50),H247-3,H247)))))</f>
        <v/>
      </c>
      <c r="K247" s="57" t="n"/>
    </row>
    <row r="248" ht="15" customHeight="1" thickBot="1">
      <c r="A248" s="35" t="inlineStr">
        <is>
          <t>gl</t>
        </is>
      </c>
      <c r="B248" s="35" t="n">
        <v>245</v>
      </c>
      <c r="C248" s="36" t="n"/>
      <c r="D248" s="36" t="n"/>
      <c r="E248" s="35" t="n">
        <v>42</v>
      </c>
      <c r="F248" s="37">
        <f>IF(E248="","",E248*1000)</f>
        <v/>
      </c>
      <c r="G248" s="34" t="n">
        <v>50</v>
      </c>
      <c r="H248" s="56">
        <f>IF(I248&lt;&gt;"",I248,IF(G248="","",IF(ROUND(MOD(G248,1),1)&lt;=0.4,INT(G248)-1,INT(G248))))</f>
        <v/>
      </c>
      <c r="I248" s="56" t="n"/>
      <c r="J248" s="57">
        <f>IF(H248="","",IF(LOWER(A248)="gl",H248-2,IF(H248&gt;=60,H248-5,IF(AND(H248&gt;=50,H248&lt;60),H248-4,IF(AND(H248&gt;=10,H248&lt;50),H248-3,H248)))))</f>
        <v/>
      </c>
      <c r="K248" s="57" t="n"/>
    </row>
    <row r="249" ht="15" customHeight="1">
      <c r="A249" s="10" t="inlineStr">
        <is>
          <t>gl</t>
        </is>
      </c>
      <c r="B249" s="10" t="n">
        <v>246</v>
      </c>
      <c r="C249" s="11" t="n"/>
      <c r="D249" s="11" t="inlineStr">
        <is>
          <t>Dulla</t>
        </is>
      </c>
      <c r="E249" s="10" t="n">
        <v>42</v>
      </c>
      <c r="F249" s="13">
        <f>IF(E249="","",E249*1000)</f>
        <v/>
      </c>
      <c r="G249" s="27" t="n">
        <v>32.3</v>
      </c>
      <c r="H249" s="56">
        <f>IF(I249&lt;&gt;"",I249,IF(G249="","",IF(ROUND(MOD(G249,1),1)&lt;=0.4,INT(G249)-1,INT(G249))))</f>
        <v/>
      </c>
      <c r="I249" s="56" t="n"/>
      <c r="J249" s="57">
        <f>IF(H249="","",IF(LOWER(A249)="gl",H249-2,IF(H249&gt;=60,H249-5,IF(AND(H249&gt;=50,H249&lt;60),H249-4,IF(AND(H249&gt;=10,H249&lt;50),H249-3,H249)))))</f>
        <v/>
      </c>
      <c r="K249" s="57" t="n"/>
    </row>
    <row r="250" ht="15" customHeight="1">
      <c r="A250" s="10" t="inlineStr">
        <is>
          <t>gl</t>
        </is>
      </c>
      <c r="B250" s="2" t="n">
        <v>247</v>
      </c>
      <c r="C250" s="3" t="n"/>
      <c r="D250" s="18" t="inlineStr">
        <is>
          <t>(12/8/26)</t>
        </is>
      </c>
      <c r="E250" s="2" t="n">
        <v>42</v>
      </c>
      <c r="F250" s="5">
        <f>IF(E250="","",E250*1000)</f>
        <v/>
      </c>
      <c r="G250" s="23" t="n">
        <v>35</v>
      </c>
      <c r="H250" s="56">
        <f>IF(I250&lt;&gt;"",I250,IF(G250="","",IF(ROUND(MOD(G250,1),1)&lt;=0.4,INT(G250)-1,INT(G250))))</f>
        <v/>
      </c>
      <c r="I250" s="56" t="n"/>
      <c r="J250" s="57">
        <f>IF(H250="","",IF(LOWER(A250)="gl",H250-2,IF(H250&gt;=60,H250-5,IF(AND(H250&gt;=50,H250&lt;60),H250-4,IF(AND(H250&gt;=10,H250&lt;50),H250-3,H250)))))</f>
        <v/>
      </c>
      <c r="K250" s="57" t="n"/>
    </row>
    <row r="251" ht="15" customHeight="1">
      <c r="A251" s="10" t="inlineStr">
        <is>
          <t>gl</t>
        </is>
      </c>
      <c r="B251" s="2" t="n">
        <v>248</v>
      </c>
      <c r="C251" s="3" t="n"/>
      <c r="D251" s="3" t="n"/>
      <c r="E251" s="2" t="n">
        <v>45</v>
      </c>
      <c r="F251" s="5">
        <f>IF(E251="","",E251*1000)</f>
        <v/>
      </c>
      <c r="G251" s="23" t="n">
        <v>37.6</v>
      </c>
      <c r="H251" s="56">
        <f>IF(I251&lt;&gt;"",I251,IF(G251="","",IF(ROUND(MOD(G251,1),1)&lt;=0.4,INT(G251)-1,INT(G251))))</f>
        <v/>
      </c>
      <c r="I251" s="56" t="n"/>
      <c r="J251" s="57">
        <f>IF(H251="","",IF(LOWER(A251)="gl",H251-2,IF(H251&gt;=60,H251-5,IF(AND(H251&gt;=50,H251&lt;60),H251-4,IF(AND(H251&gt;=10,H251&lt;50),H251-3,H251)))))</f>
        <v/>
      </c>
      <c r="K251" s="57" t="n"/>
    </row>
    <row r="252" ht="15" customHeight="1">
      <c r="A252" s="10" t="inlineStr">
        <is>
          <t>gl</t>
        </is>
      </c>
      <c r="B252" s="2" t="n">
        <v>249</v>
      </c>
      <c r="C252" s="3" t="n"/>
      <c r="D252" s="3" t="n"/>
      <c r="E252" s="2" t="n">
        <v>45</v>
      </c>
      <c r="F252" s="5">
        <f>IF(E252="","",E252*1000)</f>
        <v/>
      </c>
      <c r="G252" s="23" t="n">
        <v>33</v>
      </c>
      <c r="H252" s="56">
        <f>IF(I252&lt;&gt;"",I252,IF(G252="","",IF(ROUND(MOD(G252,1),1)&lt;=0.4,INT(G252)-1,INT(G252))))</f>
        <v/>
      </c>
      <c r="I252" s="56" t="n"/>
      <c r="J252" s="57">
        <f>IF(H252="","",IF(LOWER(A252)="gl",H252-2,IF(H252&gt;=60,H252-5,IF(AND(H252&gt;=50,H252&lt;60),H252-4,IF(AND(H252&gt;=10,H252&lt;50),H252-3,H252)))))</f>
        <v/>
      </c>
      <c r="K252" s="57" t="n"/>
    </row>
    <row r="253" ht="15" customHeight="1">
      <c r="A253" s="10" t="inlineStr">
        <is>
          <t>gl</t>
        </is>
      </c>
      <c r="B253" s="2" t="n">
        <v>250</v>
      </c>
      <c r="C253" s="3" t="n"/>
      <c r="D253" s="3" t="n"/>
      <c r="E253" s="2" t="n">
        <v>45</v>
      </c>
      <c r="F253" s="5">
        <f>IF(E253="","",E253*1000)</f>
        <v/>
      </c>
      <c r="G253" s="23" t="n">
        <v>38.3</v>
      </c>
      <c r="H253" s="56">
        <f>IF(I253&lt;&gt;"",I253,IF(G253="","",IF(ROUND(MOD(G253,1),1)&lt;=0.4,INT(G253)-1,INT(G253))))</f>
        <v/>
      </c>
      <c r="I253" s="56" t="n"/>
      <c r="J253" s="57">
        <f>IF(H253="","",IF(LOWER(A253)="gl",H253-2,IF(H253&gt;=60,H253-5,IF(AND(H253&gt;=50,H253&lt;60),H253-4,IF(AND(H253&gt;=10,H253&lt;50),H253-3,H253)))))</f>
        <v/>
      </c>
      <c r="K253" s="57" t="n"/>
    </row>
    <row r="254" ht="15" customHeight="1">
      <c r="A254" s="10" t="inlineStr">
        <is>
          <t>gl</t>
        </is>
      </c>
      <c r="B254" s="2" t="n">
        <v>251</v>
      </c>
      <c r="C254" s="3" t="n"/>
      <c r="D254" s="3" t="n"/>
      <c r="E254" s="2" t="n">
        <v>38</v>
      </c>
      <c r="F254" s="5">
        <f>IF(E254="","",E254*1000)</f>
        <v/>
      </c>
      <c r="G254" s="23" t="n">
        <v>28.8</v>
      </c>
      <c r="H254" s="56">
        <f>IF(I254&lt;&gt;"",I254,IF(G254="","",IF(ROUND(MOD(G254,1),1)&lt;=0.4,INT(G254)-1,INT(G254))))</f>
        <v/>
      </c>
      <c r="I254" s="56" t="n"/>
      <c r="J254" s="57">
        <f>IF(H254="","",IF(LOWER(A254)="gl",H254-2,IF(H254&gt;=60,H254-5,IF(AND(H254&gt;=50,H254&lt;60),H254-4,IF(AND(H254&gt;=10,H254&lt;50),H254-3,H254)))))</f>
        <v/>
      </c>
      <c r="K254" s="57" t="n"/>
    </row>
    <row r="255" ht="15" customHeight="1">
      <c r="A255" s="10" t="inlineStr">
        <is>
          <t>gl</t>
        </is>
      </c>
      <c r="B255" s="2" t="n">
        <v>252</v>
      </c>
      <c r="C255" s="3" t="n"/>
      <c r="D255" s="3" t="n"/>
      <c r="E255" s="2" t="n">
        <v>38</v>
      </c>
      <c r="F255" s="5">
        <f>IF(E255="","",E255*1000)</f>
        <v/>
      </c>
      <c r="G255" s="23" t="n">
        <v>34.5</v>
      </c>
      <c r="H255" s="56">
        <f>IF(I255&lt;&gt;"",I255,IF(G255="","",IF(ROUND(MOD(G255,1),1)&lt;=0.4,INT(G255)-1,INT(G255))))</f>
        <v/>
      </c>
      <c r="I255" s="56" t="n"/>
      <c r="J255" s="57">
        <f>IF(H255="","",IF(LOWER(A255)="gl",H255-2,IF(H255&gt;=60,H255-5,IF(AND(H255&gt;=50,H255&lt;60),H255-4,IF(AND(H255&gt;=10,H255&lt;50),H255-3,H255)))))</f>
        <v/>
      </c>
      <c r="K255" s="57" t="n"/>
    </row>
    <row r="256" ht="15" customHeight="1">
      <c r="A256" s="10" t="inlineStr">
        <is>
          <t>gl</t>
        </is>
      </c>
      <c r="B256" s="2" t="n">
        <v>253</v>
      </c>
      <c r="C256" s="3" t="n"/>
      <c r="D256" s="3" t="n"/>
      <c r="E256" s="2" t="n">
        <v>38</v>
      </c>
      <c r="F256" s="5">
        <f>IF(E256="","",E256*1000)</f>
        <v/>
      </c>
      <c r="G256" s="23" t="n">
        <v>40.6</v>
      </c>
      <c r="H256" s="56">
        <f>IF(I256&lt;&gt;"",I256,IF(G256="","",IF(ROUND(MOD(G256,1),1)&lt;=0.4,INT(G256)-1,INT(G256))))</f>
        <v/>
      </c>
      <c r="I256" s="56" t="n"/>
      <c r="J256" s="57">
        <f>IF(H256="","",IF(LOWER(A256)="gl",H256-2,IF(H256&gt;=60,H256-5,IF(AND(H256&gt;=50,H256&lt;60),H256-4,IF(AND(H256&gt;=10,H256&lt;50),H256-3,H256)))))</f>
        <v/>
      </c>
      <c r="K256" s="57" t="n"/>
    </row>
    <row r="257" ht="15" customHeight="1" thickBot="1">
      <c r="A257" s="35" t="inlineStr">
        <is>
          <t>gl</t>
        </is>
      </c>
      <c r="B257" s="35" t="n">
        <v>254</v>
      </c>
      <c r="C257" s="36" t="n"/>
      <c r="D257" s="36" t="n"/>
      <c r="E257" s="35" t="n">
        <v>44</v>
      </c>
      <c r="F257" s="37">
        <f>IF(E257="","",E257*1000)</f>
        <v/>
      </c>
      <c r="G257" s="34" t="n">
        <v>41.1</v>
      </c>
      <c r="H257" s="56">
        <f>IF(I257&lt;&gt;"",I257,IF(G257="","",IF(ROUND(MOD(G257,1),1)&lt;=0.4,INT(G257)-1,INT(G257))))</f>
        <v/>
      </c>
      <c r="I257" s="56" t="n"/>
      <c r="J257" s="57">
        <f>IF(H257="","",IF(LOWER(A257)="gl",H257-2,IF(H257&gt;=60,H257-5,IF(AND(H257&gt;=50,H257&lt;60),H257-4,IF(AND(H257&gt;=10,H257&lt;50),H257-3,H257)))))</f>
        <v/>
      </c>
      <c r="K257" s="57" t="n"/>
    </row>
    <row r="258" ht="15" customHeight="1">
      <c r="A258" s="10" t="inlineStr">
        <is>
          <t>gl</t>
        </is>
      </c>
      <c r="B258" s="10" t="n">
        <v>255</v>
      </c>
      <c r="C258" s="11" t="n"/>
      <c r="D258" s="11" t="inlineStr">
        <is>
          <t>Bahruddin (1)</t>
        </is>
      </c>
      <c r="E258" s="10" t="n">
        <v>45</v>
      </c>
      <c r="F258" s="13">
        <f>IF(E258="","",E258*1000)</f>
        <v/>
      </c>
      <c r="G258" s="27" t="n">
        <v>43.3</v>
      </c>
      <c r="H258" s="56">
        <f>IF(I258&lt;&gt;"",I258,IF(G258="","",IF(ROUND(MOD(G258,1),1)&lt;=0.4,INT(G258)-1,INT(G258))))</f>
        <v/>
      </c>
      <c r="I258" s="56" t="n"/>
      <c r="J258" s="57">
        <f>IF(H258="","",IF(LOWER(A258)="gl",H258-2,IF(H258&gt;=60,H258-5,IF(AND(H258&gt;=50,H258&lt;60),H258-4,IF(AND(H258&gt;=10,H258&lt;50),H258-3,H258)))))</f>
        <v/>
      </c>
      <c r="K258" s="57" t="inlineStr">
        <is>
          <t>ada bs</t>
        </is>
      </c>
      <c r="L258" s="2" t="inlineStr">
        <is>
          <t>bs</t>
        </is>
      </c>
      <c r="M258" s="3" t="n"/>
      <c r="N258" s="2" t="n">
        <v>20</v>
      </c>
      <c r="O258" s="5">
        <f>IF(N258="","",N258*1000)</f>
        <v/>
      </c>
      <c r="P258" s="23" t="n">
        <v>42</v>
      </c>
      <c r="Q258" s="7">
        <f>IF(P258="","",IF(AND(ROUND(MOD(P258,1),1)&gt;0,ROUND(MOD(P258,1),1)&lt;=0.3),INT(P258)-1,INT(P258)))</f>
        <v/>
      </c>
      <c r="R258" s="7">
        <f>IF(P258="","",IF(LOWER(K258)="gl",P258-2,IF(AND(P258&gt;=60,P258&lt;=70),P258-5,IF(AND(P258&gt;=50,P258&lt;60),P258-4,IF(AND(P258&gt;=10,P258&lt;50),P258-3,P258)))))</f>
        <v/>
      </c>
    </row>
    <row r="259" ht="15" customHeight="1">
      <c r="A259" s="10" t="inlineStr">
        <is>
          <t>gl</t>
        </is>
      </c>
      <c r="B259" s="2" t="n">
        <v>256</v>
      </c>
      <c r="C259" s="3" t="n"/>
      <c r="D259" s="18" t="inlineStr">
        <is>
          <t>(13/8/26)</t>
        </is>
      </c>
      <c r="E259" s="2" t="n">
        <v>52</v>
      </c>
      <c r="F259" s="5">
        <f>IF(E259="","",E259*1000)</f>
        <v/>
      </c>
      <c r="G259" s="23" t="n">
        <v>35.7</v>
      </c>
      <c r="H259" s="56">
        <f>IF(I259&lt;&gt;"",I259,IF(G259="","",IF(ROUND(MOD(G259,1),1)&lt;=0.4,INT(G259)-1,INT(G259))))</f>
        <v/>
      </c>
      <c r="I259" s="56" t="n"/>
      <c r="J259" s="57">
        <f>IF(H259="","",IF(LOWER(A259)="gl",H259-2,IF(H259&gt;=60,H259-5,IF(AND(H259&gt;=50,H259&lt;60),H259-4,IF(AND(H259&gt;=10,H259&lt;50),H259-3,H259)))))</f>
        <v/>
      </c>
      <c r="K259" s="57" t="inlineStr">
        <is>
          <t>ada bs</t>
        </is>
      </c>
      <c r="L259" s="2" t="inlineStr">
        <is>
          <t>bs</t>
        </is>
      </c>
      <c r="M259" s="3" t="n"/>
      <c r="N259" s="2" t="n">
        <v>25</v>
      </c>
      <c r="O259" s="5">
        <f>IF(N259="","",N259*1000)</f>
        <v/>
      </c>
      <c r="P259" s="23" t="n">
        <v>21.1</v>
      </c>
      <c r="Q259" s="7">
        <f>IF(P259="","",IF(AND(ROUND(MOD(P259,1),1)&gt;0,ROUND(MOD(P259,1),1)&lt;=0.3),INT(P259)-1,INT(P259)))</f>
        <v/>
      </c>
      <c r="R259" s="7">
        <f>IF(P259="","",IF(LOWER(J259)="gl",P259-2,IF(AND(P259&gt;=60,P259&lt;=70),P259-5,IF(AND(P259&gt;=50,P259&lt;60),P259-4,IF(AND(P259&gt;=10,P259&lt;50),P259-3,P259)))))</f>
        <v/>
      </c>
    </row>
    <row r="260" ht="15" customHeight="1">
      <c r="A260" s="10" t="inlineStr">
        <is>
          <t>gl</t>
        </is>
      </c>
      <c r="B260" s="2" t="n">
        <v>257</v>
      </c>
      <c r="C260" s="3" t="n"/>
      <c r="D260" s="3" t="n"/>
      <c r="E260" s="2" t="n">
        <v>52</v>
      </c>
      <c r="F260" s="5">
        <f>IF(E260="","",E260*1000)</f>
        <v/>
      </c>
      <c r="G260" s="23" t="n">
        <v>32.9</v>
      </c>
      <c r="H260" s="56">
        <f>IF(I260&lt;&gt;"",I260,IF(G260="","",IF(ROUND(MOD(G260,1),1)&lt;=0.4,INT(G260)-1,INT(G260))))</f>
        <v/>
      </c>
      <c r="I260" s="56" t="n"/>
      <c r="J260" s="57">
        <f>IF(H260="","",IF(LOWER(A260)="gl",H260-2,IF(H260&gt;=60,H260-5,IF(AND(H260&gt;=50,H260&lt;60),H260-4,IF(AND(H260&gt;=10,H260&lt;50),H260-3,H260)))))</f>
        <v/>
      </c>
      <c r="K260" s="57" t="n"/>
    </row>
    <row r="261" ht="15" customHeight="1">
      <c r="A261" s="10" t="inlineStr">
        <is>
          <t>gl</t>
        </is>
      </c>
      <c r="B261" s="2" t="n">
        <v>258</v>
      </c>
      <c r="C261" s="3" t="n"/>
      <c r="D261" s="3" t="n"/>
      <c r="E261" s="2" t="n">
        <v>52</v>
      </c>
      <c r="F261" s="5">
        <f>IF(E261="","",E261*1000)</f>
        <v/>
      </c>
      <c r="G261" s="23" t="n">
        <v>33.7</v>
      </c>
      <c r="H261" s="56">
        <f>IF(I261&lt;&gt;"",I261,IF(G261="","",IF(ROUND(MOD(G261,1),1)&lt;=0.4,INT(G261)-1,INT(G261))))</f>
        <v/>
      </c>
      <c r="I261" s="56" t="n"/>
      <c r="J261" s="57">
        <f>IF(H261="","",IF(LOWER(A261)="gl",H261-2,IF(H261&gt;=60,H261-5,IF(AND(H261&gt;=50,H261&lt;60),H261-4,IF(AND(H261&gt;=10,H261&lt;50),H261-3,H261)))))</f>
        <v/>
      </c>
      <c r="K261" s="57" t="n"/>
    </row>
    <row r="262" ht="15" customHeight="1">
      <c r="A262" s="10" t="inlineStr">
        <is>
          <t>gl</t>
        </is>
      </c>
      <c r="B262" s="2" t="n">
        <v>259</v>
      </c>
      <c r="C262" s="3" t="n"/>
      <c r="D262" s="3" t="n"/>
      <c r="E262" s="2" t="n">
        <v>42</v>
      </c>
      <c r="F262" s="5">
        <f>IF(E262="","",E262*1000)</f>
        <v/>
      </c>
      <c r="G262" s="23" t="n">
        <v>45.9</v>
      </c>
      <c r="H262" s="56">
        <f>IF(I262&lt;&gt;"",I262,IF(G262="","",IF(ROUND(MOD(G262,1),1)&lt;=0.4,INT(G262)-1,INT(G262))))</f>
        <v/>
      </c>
      <c r="I262" s="56" t="n"/>
      <c r="J262" s="57">
        <f>IF(H262="","",IF(LOWER(A262)="gl",H262-2,IF(H262&gt;=60,H262-5,IF(AND(H262&gt;=50,H262&lt;60),H262-4,IF(AND(H262&gt;=10,H262&lt;50),H262-3,H262)))))</f>
        <v/>
      </c>
      <c r="K262" s="57" t="n"/>
    </row>
    <row r="263" ht="15" customHeight="1">
      <c r="A263" s="10" t="inlineStr">
        <is>
          <t>gl</t>
        </is>
      </c>
      <c r="B263" s="2" t="n">
        <v>260</v>
      </c>
      <c r="C263" s="3" t="n"/>
      <c r="D263" s="3" t="n"/>
      <c r="E263" s="2" t="n">
        <v>42</v>
      </c>
      <c r="F263" s="5">
        <f>IF(E263="","",E263*1000)</f>
        <v/>
      </c>
      <c r="G263" s="23" t="n">
        <v>46.5</v>
      </c>
      <c r="H263" s="56">
        <f>IF(I263&lt;&gt;"",I263,IF(G263="","",IF(ROUND(MOD(G263,1),1)&lt;=0.4,INT(G263)-1,INT(G263))))</f>
        <v/>
      </c>
      <c r="I263" s="56" t="n"/>
      <c r="J263" s="57">
        <f>IF(H263="","",IF(LOWER(A263)="gl",H263-2,IF(H263&gt;=60,H263-5,IF(AND(H263&gt;=50,H263&lt;60),H263-4,IF(AND(H263&gt;=10,H263&lt;50),H263-3,H263)))))</f>
        <v/>
      </c>
      <c r="K263" s="57" t="n"/>
    </row>
    <row r="264" ht="15" customHeight="1">
      <c r="A264" s="10" t="inlineStr">
        <is>
          <t>gl</t>
        </is>
      </c>
      <c r="B264" s="2" t="n">
        <v>261</v>
      </c>
      <c r="C264" s="3" t="n"/>
      <c r="D264" s="3" t="n"/>
      <c r="E264" s="2" t="n">
        <v>42</v>
      </c>
      <c r="F264" s="5">
        <f>IF(E264="","",E264*1000)</f>
        <v/>
      </c>
      <c r="G264" s="23" t="n">
        <v>34.2</v>
      </c>
      <c r="H264" s="56">
        <f>IF(I264&lt;&gt;"",I264,IF(G264="","",IF(ROUND(MOD(G264,1),1)&lt;=0.4,INT(G264)-1,INT(G264))))</f>
        <v/>
      </c>
      <c r="I264" s="56" t="n"/>
      <c r="J264" s="57">
        <f>IF(H264="","",IF(LOWER(A264)="gl",H264-2,IF(H264&gt;=60,H264-5,IF(AND(H264&gt;=50,H264&lt;60),H264-4,IF(AND(H264&gt;=10,H264&lt;50),H264-3,H264)))))</f>
        <v/>
      </c>
      <c r="K264" s="57" t="n"/>
    </row>
    <row r="265" ht="15" customHeight="1">
      <c r="A265" s="10" t="inlineStr">
        <is>
          <t>gl</t>
        </is>
      </c>
      <c r="B265" s="2" t="n">
        <v>262</v>
      </c>
      <c r="C265" s="3" t="n"/>
      <c r="D265" s="3" t="n"/>
      <c r="E265" s="2" t="n">
        <v>42</v>
      </c>
      <c r="F265" s="5">
        <f>IF(E265="","",E265*1000)</f>
        <v/>
      </c>
      <c r="G265" s="23" t="n">
        <v>37.3</v>
      </c>
      <c r="H265" s="56">
        <f>IF(I265&lt;&gt;"",I265,IF(G265="","",IF(ROUND(MOD(G265,1),1)&lt;=0.4,INT(G265)-1,INT(G265))))</f>
        <v/>
      </c>
      <c r="I265" s="56" t="n"/>
      <c r="J265" s="57">
        <f>IF(H265="","",IF(LOWER(A265)="gl",H265-2,IF(H265&gt;=60,H265-5,IF(AND(H265&gt;=50,H265&lt;60),H265-4,IF(AND(H265&gt;=10,H265&lt;50),H265-3,H265)))))</f>
        <v/>
      </c>
      <c r="K265" s="57" t="n"/>
    </row>
    <row r="266" ht="15" customHeight="1">
      <c r="A266" s="10" t="inlineStr">
        <is>
          <t>gl</t>
        </is>
      </c>
      <c r="B266" s="2" t="n">
        <v>263</v>
      </c>
      <c r="C266" s="3" t="n"/>
      <c r="D266" s="3" t="n"/>
      <c r="E266" s="2" t="n">
        <v>42</v>
      </c>
      <c r="F266" s="5">
        <f>IF(E266="","",E266*1000)</f>
        <v/>
      </c>
      <c r="G266" s="23" t="n">
        <v>36.3</v>
      </c>
      <c r="H266" s="56">
        <f>IF(I266&lt;&gt;"",I266,IF(G266="","",IF(ROUND(MOD(G266,1),1)&lt;=0.4,INT(G266)-1,INT(G266))))</f>
        <v/>
      </c>
      <c r="I266" s="56" t="n"/>
      <c r="J266" s="57">
        <f>IF(H266="","",IF(LOWER(A266)="gl",H266-2,IF(H266&gt;=60,H266-5,IF(AND(H266&gt;=50,H266&lt;60),H266-4,IF(AND(H266&gt;=10,H266&lt;50),H266-3,H266)))))</f>
        <v/>
      </c>
      <c r="K266" s="57" t="n"/>
    </row>
    <row r="267" ht="15" customHeight="1">
      <c r="A267" s="10" t="inlineStr">
        <is>
          <t>gl</t>
        </is>
      </c>
      <c r="B267" s="2" t="n">
        <v>264</v>
      </c>
      <c r="C267" s="3" t="n"/>
      <c r="D267" s="3" t="n"/>
      <c r="E267" s="2" t="n">
        <v>42</v>
      </c>
      <c r="F267" s="5">
        <f>IF(E267="","",E267*1000)</f>
        <v/>
      </c>
      <c r="G267" s="23" t="n">
        <v>35.4</v>
      </c>
      <c r="H267" s="56">
        <f>IF(I267&lt;&gt;"",I267,IF(G267="","",IF(ROUND(MOD(G267,1),1)&lt;=0.4,INT(G267)-1,INT(G267))))</f>
        <v/>
      </c>
      <c r="I267" s="56" t="n"/>
      <c r="J267" s="57">
        <f>IF(H267="","",IF(LOWER(A267)="gl",H267-2,IF(H267&gt;=60,H267-5,IF(AND(H267&gt;=50,H267&lt;60),H267-4,IF(AND(H267&gt;=10,H267&lt;50),H267-3,H267)))))</f>
        <v/>
      </c>
      <c r="K267" s="57" t="n"/>
    </row>
    <row r="268" ht="15" customHeight="1">
      <c r="A268" s="10" t="inlineStr">
        <is>
          <t>gl</t>
        </is>
      </c>
      <c r="B268" s="2" t="n">
        <v>265</v>
      </c>
      <c r="C268" s="3" t="n"/>
      <c r="D268" s="3" t="n"/>
      <c r="E268" s="2" t="n">
        <v>43</v>
      </c>
      <c r="F268" s="5">
        <f>IF(E268="","",E268*1000)</f>
        <v/>
      </c>
      <c r="G268" s="23" t="n">
        <v>46.9</v>
      </c>
      <c r="H268" s="56">
        <f>IF(I268&lt;&gt;"",I268,IF(G268="","",IF(ROUND(MOD(G268,1),1)&lt;=0.4,INT(G268)-1,INT(G268))))</f>
        <v/>
      </c>
      <c r="I268" s="56" t="n"/>
      <c r="J268" s="57">
        <f>IF(H268="","",IF(LOWER(A268)="gl",H268-2,IF(H268&gt;=60,H268-5,IF(AND(H268&gt;=50,H268&lt;60),H268-4,IF(AND(H268&gt;=10,H268&lt;50),H268-3,H268)))))</f>
        <v/>
      </c>
      <c r="K268" s="57" t="n"/>
    </row>
    <row r="269" ht="15" customHeight="1">
      <c r="A269" s="10" t="inlineStr">
        <is>
          <t>gl</t>
        </is>
      </c>
      <c r="B269" s="2" t="n">
        <v>266</v>
      </c>
      <c r="C269" s="3" t="n"/>
      <c r="D269" s="3" t="n"/>
      <c r="E269" s="2" t="n">
        <v>44</v>
      </c>
      <c r="F269" s="5">
        <f>IF(E269="","",E269*1000)</f>
        <v/>
      </c>
      <c r="G269" s="23" t="n">
        <v>34.7</v>
      </c>
      <c r="H269" s="56">
        <f>IF(I269&lt;&gt;"",I269,IF(G269="","",IF(ROUND(MOD(G269,1),1)&lt;=0.4,INT(G269)-1,INT(G269))))</f>
        <v/>
      </c>
      <c r="I269" s="56" t="n"/>
      <c r="J269" s="57">
        <f>IF(H269="","",IF(LOWER(A269)="gl",H269-2,IF(H269&gt;=60,H269-5,IF(AND(H269&gt;=50,H269&lt;60),H269-4,IF(AND(H269&gt;=10,H269&lt;50),H269-3,H269)))))</f>
        <v/>
      </c>
      <c r="K269" s="57" t="n"/>
    </row>
    <row r="270" ht="15" customHeight="1">
      <c r="A270" s="10" t="inlineStr">
        <is>
          <t>gl</t>
        </is>
      </c>
      <c r="B270" s="2" t="n">
        <v>267</v>
      </c>
      <c r="C270" s="3" t="n"/>
      <c r="D270" s="3" t="n"/>
      <c r="E270" s="2" t="n">
        <v>42</v>
      </c>
      <c r="F270" s="5">
        <f>IF(E270="","",E270*1000)</f>
        <v/>
      </c>
      <c r="G270" s="23" t="n">
        <v>44.2</v>
      </c>
      <c r="H270" s="56">
        <f>IF(I270&lt;&gt;"",I270,IF(G270="","",IF(ROUND(MOD(G270,1),1)&lt;=0.4,INT(G270)-1,INT(G270))))</f>
        <v/>
      </c>
      <c r="I270" s="56" t="n"/>
      <c r="J270" s="57">
        <f>IF(H270="","",IF(LOWER(A270)="gl",H270-2,IF(H270&gt;=60,H270-5,IF(AND(H270&gt;=50,H270&lt;60),H270-4,IF(AND(H270&gt;=10,H270&lt;50),H270-3,H270)))))</f>
        <v/>
      </c>
      <c r="K270" s="57" t="n"/>
    </row>
    <row r="271" ht="15" customHeight="1">
      <c r="A271" s="10" t="inlineStr">
        <is>
          <t>gl</t>
        </is>
      </c>
      <c r="B271" s="2" t="n">
        <v>268</v>
      </c>
      <c r="C271" s="3" t="n"/>
      <c r="D271" s="3" t="n"/>
      <c r="E271" s="2" t="n">
        <v>42</v>
      </c>
      <c r="F271" s="5">
        <f>IF(E271="","",E271*1000)</f>
        <v/>
      </c>
      <c r="G271" s="23" t="n">
        <v>35.5</v>
      </c>
      <c r="H271" s="56">
        <f>IF(I271&lt;&gt;"",I271,IF(G271="","",IF(ROUND(MOD(G271,1),1)&lt;=0.4,INT(G271)-1,INT(G271))))</f>
        <v/>
      </c>
      <c r="I271" s="56" t="n"/>
      <c r="J271" s="57">
        <f>IF(H271="","",IF(LOWER(A271)="gl",H271-2,IF(H271&gt;=60,H271-5,IF(AND(H271&gt;=50,H271&lt;60),H271-4,IF(AND(H271&gt;=10,H271&lt;50),H271-3,H271)))))</f>
        <v/>
      </c>
      <c r="K271" s="57" t="n"/>
    </row>
    <row r="272" ht="15" customHeight="1">
      <c r="A272" s="10" t="inlineStr">
        <is>
          <t>gl</t>
        </is>
      </c>
      <c r="B272" s="2" t="n">
        <v>269</v>
      </c>
      <c r="C272" s="3" t="n"/>
      <c r="D272" s="3" t="n"/>
      <c r="E272" s="2" t="n">
        <v>42</v>
      </c>
      <c r="F272" s="5">
        <f>IF(E272="","",E272*1000)</f>
        <v/>
      </c>
      <c r="G272" s="23" t="n">
        <v>43.8</v>
      </c>
      <c r="H272" s="56">
        <f>IF(I272&lt;&gt;"",I272,IF(G272="","",IF(ROUND(MOD(G272,1),1)&lt;=0.4,INT(G272)-1,INT(G272))))</f>
        <v/>
      </c>
      <c r="I272" s="56" t="n"/>
      <c r="J272" s="57">
        <f>IF(H272="","",IF(LOWER(A272)="gl",H272-2,IF(H272&gt;=60,H272-5,IF(AND(H272&gt;=50,H272&lt;60),H272-4,IF(AND(H272&gt;=10,H272&lt;50),H272-3,H272)))))</f>
        <v/>
      </c>
      <c r="K272" s="57" t="n"/>
    </row>
    <row r="273" ht="15" customHeight="1" thickBot="1">
      <c r="A273" s="10" t="inlineStr">
        <is>
          <t>gl</t>
        </is>
      </c>
      <c r="B273" s="35" t="n">
        <v>270</v>
      </c>
      <c r="C273" s="36" t="n"/>
      <c r="D273" s="36" t="n"/>
      <c r="E273" s="35" t="n">
        <v>42</v>
      </c>
      <c r="F273" s="37">
        <f>IF(E273="","",E273*1000)</f>
        <v/>
      </c>
      <c r="G273" s="34" t="n">
        <v>37.4</v>
      </c>
      <c r="H273" s="56">
        <f>IF(I273&lt;&gt;"",I273,IF(G273="","",IF(ROUND(MOD(G273,1),1)&lt;=0.4,INT(G273)-1,INT(G273))))</f>
        <v/>
      </c>
      <c r="I273" s="56" t="n"/>
      <c r="J273" s="57">
        <f>IF(H273="","",IF(LOWER(A273)="gl",H273-2,IF(H273&gt;=60,H273-5,IF(AND(H273&gt;=50,H273&lt;60),H273-4,IF(AND(H273&gt;=10,H273&lt;50),H273-3,H273)))))</f>
        <v/>
      </c>
      <c r="K273" s="57" t="n"/>
    </row>
    <row r="274" ht="15" customHeight="1">
      <c r="A274" s="10" t="inlineStr">
        <is>
          <t>gl</t>
        </is>
      </c>
      <c r="B274" s="10" t="n">
        <v>271</v>
      </c>
      <c r="C274" s="11" t="n"/>
      <c r="D274" s="11" t="inlineStr">
        <is>
          <t>H. MAHFUD</t>
        </is>
      </c>
      <c r="E274" s="10" t="n">
        <v>46</v>
      </c>
      <c r="F274" s="13">
        <f>IF(E274="","",E274*1000)</f>
        <v/>
      </c>
      <c r="G274" s="27" t="n">
        <v>30.7</v>
      </c>
      <c r="H274" s="56">
        <f>IF(I274&lt;&gt;"",I274,IF(G274="","",IF(ROUND(MOD(G274,1),1)&lt;=0.4,INT(G274)-1,INT(G274))))</f>
        <v/>
      </c>
      <c r="I274" s="56" t="n"/>
      <c r="J274" s="57">
        <f>IF(H274="","",IF(LOWER(A274)="gl",H274-2,IF(H274&gt;=60,H274-5,IF(AND(H274&gt;=50,H274&lt;60),H274-4,IF(AND(H274&gt;=10,H274&lt;50),H274-3,H274)))))</f>
        <v/>
      </c>
      <c r="K274" s="57" t="n"/>
    </row>
    <row r="275" ht="15" customHeight="1">
      <c r="A275" s="10" t="inlineStr">
        <is>
          <t>gl</t>
        </is>
      </c>
      <c r="B275" s="2" t="n">
        <v>272</v>
      </c>
      <c r="C275" s="3" t="n"/>
      <c r="D275" s="3" t="inlineStr">
        <is>
          <t>(13/8/26)</t>
        </is>
      </c>
      <c r="E275" s="2" t="n">
        <v>47</v>
      </c>
      <c r="F275" s="5">
        <f>IF(E275="","",E275*1000)</f>
        <v/>
      </c>
      <c r="G275" s="23" t="n">
        <v>32.2</v>
      </c>
      <c r="H275" s="56">
        <f>IF(I275&lt;&gt;"",I275,IF(G275="","",IF(ROUND(MOD(G275,1),1)&lt;=0.4,INT(G275)-1,INT(G275))))</f>
        <v/>
      </c>
      <c r="I275" s="56" t="n"/>
      <c r="J275" s="57">
        <f>IF(H275="","",IF(LOWER(A275)="gl",H275-2,IF(H275&gt;=60,H275-5,IF(AND(H275&gt;=50,H275&lt;60),H275-4,IF(AND(H275&gt;=10,H275&lt;50),H275-3,H275)))))</f>
        <v/>
      </c>
      <c r="K275" s="57" t="n"/>
    </row>
    <row r="276" ht="15" customHeight="1">
      <c r="A276" s="10" t="inlineStr">
        <is>
          <t>gl</t>
        </is>
      </c>
      <c r="B276" s="2" t="n">
        <v>273</v>
      </c>
      <c r="C276" s="3" t="n"/>
      <c r="D276" s="3" t="inlineStr">
        <is>
          <t>Pegantenan</t>
        </is>
      </c>
      <c r="E276" s="2" t="n">
        <v>44</v>
      </c>
      <c r="F276" s="5">
        <f>IF(E276="","",E276*1000)</f>
        <v/>
      </c>
      <c r="G276" s="23" t="n">
        <v>34.5</v>
      </c>
      <c r="H276" s="56">
        <f>IF(I276&lt;&gt;"",I276,IF(G276="","",IF(ROUND(MOD(G276,1),1)&lt;=0.4,INT(G276)-1,INT(G276))))</f>
        <v/>
      </c>
      <c r="I276" s="56" t="n"/>
      <c r="J276" s="57">
        <f>IF(H276="","",IF(LOWER(A276)="gl",H276-2,IF(H276&gt;=60,H276-5,IF(AND(H276&gt;=50,H276&lt;60),H276-4,IF(AND(H276&gt;=10,H276&lt;50),H276-3,H276)))))</f>
        <v/>
      </c>
      <c r="K276" s="57" t="n"/>
    </row>
    <row r="277" ht="15" customHeight="1">
      <c r="A277" s="10" t="inlineStr">
        <is>
          <t>gl</t>
        </is>
      </c>
      <c r="B277" s="2" t="n">
        <v>274</v>
      </c>
      <c r="C277" s="3" t="n"/>
      <c r="D277" s="3" t="n"/>
      <c r="E277" s="2" t="n">
        <v>44</v>
      </c>
      <c r="F277" s="5">
        <f>IF(E277="","",E277*1000)</f>
        <v/>
      </c>
      <c r="G277" s="23" t="n">
        <v>33.2</v>
      </c>
      <c r="H277" s="56">
        <f>IF(I277&lt;&gt;"",I277,IF(G277="","",IF(ROUND(MOD(G277,1),1)&lt;=0.4,INT(G277)-1,INT(G277))))</f>
        <v/>
      </c>
      <c r="I277" s="56" t="n"/>
      <c r="J277" s="57">
        <f>IF(H277="","",IF(LOWER(A277)="gl",H277-2,IF(H277&gt;=60,H277-5,IF(AND(H277&gt;=50,H277&lt;60),H277-4,IF(AND(H277&gt;=10,H277&lt;50),H277-3,H277)))))</f>
        <v/>
      </c>
      <c r="K277" s="57" t="n"/>
    </row>
    <row r="278" ht="15" customHeight="1">
      <c r="A278" s="10" t="inlineStr">
        <is>
          <t>gl</t>
        </is>
      </c>
      <c r="B278" s="2" t="n">
        <v>275</v>
      </c>
      <c r="C278" s="3" t="n"/>
      <c r="D278" s="3" t="n"/>
      <c r="E278" s="2" t="n">
        <v>45</v>
      </c>
      <c r="F278" s="5">
        <f>IF(E278="","",E278*1000)</f>
        <v/>
      </c>
      <c r="G278" s="23" t="n">
        <v>33.1</v>
      </c>
      <c r="H278" s="56">
        <f>IF(I278&lt;&gt;"",I278,IF(G278="","",IF(ROUND(MOD(G278,1),1)&lt;=0.4,INT(G278)-1,INT(G278))))</f>
        <v/>
      </c>
      <c r="I278" s="56" t="n"/>
      <c r="J278" s="57">
        <f>IF(H278="","",IF(LOWER(A278)="gl",H278-2,IF(H278&gt;=60,H278-5,IF(AND(H278&gt;=50,H278&lt;60),H278-4,IF(AND(H278&gt;=10,H278&lt;50),H278-3,H278)))))</f>
        <v/>
      </c>
      <c r="K278" s="57" t="n"/>
    </row>
    <row r="279" ht="15" customHeight="1">
      <c r="A279" s="10" t="inlineStr">
        <is>
          <t>gl</t>
        </is>
      </c>
      <c r="B279" s="2" t="n">
        <v>276</v>
      </c>
      <c r="C279" s="3" t="n"/>
      <c r="D279" s="3" t="n"/>
      <c r="E279" s="2" t="n">
        <v>43</v>
      </c>
      <c r="F279" s="5">
        <f>IF(E279="","",E279*1000)</f>
        <v/>
      </c>
      <c r="G279" s="23" t="n">
        <v>29.8</v>
      </c>
      <c r="H279" s="56">
        <f>IF(I279&lt;&gt;"",I279,IF(G279="","",IF(ROUND(MOD(G279,1),1)&lt;=0.4,INT(G279)-1,INT(G279))))</f>
        <v/>
      </c>
      <c r="I279" s="56" t="n"/>
      <c r="J279" s="57">
        <f>IF(H279="","",IF(LOWER(A279)="gl",H279-2,IF(H279&gt;=60,H279-5,IF(AND(H279&gt;=50,H279&lt;60),H279-4,IF(AND(H279&gt;=10,H279&lt;50),H279-3,H279)))))</f>
        <v/>
      </c>
      <c r="K279" s="57" t="n"/>
    </row>
    <row r="280" ht="15" customHeight="1">
      <c r="A280" s="10" t="inlineStr">
        <is>
          <t>gl</t>
        </is>
      </c>
      <c r="B280" s="2" t="n">
        <v>277</v>
      </c>
      <c r="C280" s="3" t="n"/>
      <c r="D280" s="3" t="n"/>
      <c r="E280" s="2" t="n">
        <v>45</v>
      </c>
      <c r="F280" s="5">
        <f>IF(E280="","",E280*1000)</f>
        <v/>
      </c>
      <c r="G280" s="23" t="n">
        <v>39.5</v>
      </c>
      <c r="H280" s="56">
        <f>IF(I280&lt;&gt;"",I280,IF(G280="","",IF(ROUND(MOD(G280,1),1)&lt;=0.4,INT(G280)-1,INT(G280))))</f>
        <v/>
      </c>
      <c r="I280" s="56" t="n"/>
      <c r="J280" s="57">
        <f>IF(H280="","",IF(LOWER(A280)="gl",H280-2,IF(H280&gt;=60,H280-5,IF(AND(H280&gt;=50,H280&lt;60),H280-4,IF(AND(H280&gt;=10,H280&lt;50),H280-3,H280)))))</f>
        <v/>
      </c>
      <c r="K280" s="57" t="n"/>
    </row>
    <row r="281" ht="15" customHeight="1">
      <c r="A281" s="10" t="inlineStr">
        <is>
          <t>gl</t>
        </is>
      </c>
      <c r="B281" s="2" t="n">
        <v>278</v>
      </c>
      <c r="C281" s="3" t="n"/>
      <c r="D281" s="3" t="n"/>
      <c r="E281" s="2" t="n">
        <v>45</v>
      </c>
      <c r="F281" s="5">
        <f>IF(E281="","",E281*1000)</f>
        <v/>
      </c>
      <c r="G281" s="23" t="n">
        <v>28.9</v>
      </c>
      <c r="H281" s="56">
        <f>IF(I281&lt;&gt;"",I281,IF(G281="","",IF(ROUND(MOD(G281,1),1)&lt;=0.4,INT(G281)-1,INT(G281))))</f>
        <v/>
      </c>
      <c r="I281" s="56" t="n"/>
      <c r="J281" s="57">
        <f>IF(H281="","",IF(LOWER(A281)="gl",H281-2,IF(H281&gt;=60,H281-5,IF(AND(H281&gt;=50,H281&lt;60),H281-4,IF(AND(H281&gt;=10,H281&lt;50),H281-3,H281)))))</f>
        <v/>
      </c>
      <c r="K281" s="57" t="n"/>
    </row>
    <row r="282" ht="15" customHeight="1">
      <c r="A282" s="10" t="inlineStr">
        <is>
          <t>gl</t>
        </is>
      </c>
      <c r="B282" s="2" t="n">
        <v>279</v>
      </c>
      <c r="C282" s="3" t="n"/>
      <c r="D282" s="3" t="n"/>
      <c r="E282" s="2" t="n">
        <v>44</v>
      </c>
      <c r="F282" s="5">
        <f>IF(E282="","",E282*1000)</f>
        <v/>
      </c>
      <c r="G282" s="23" t="n">
        <v>34.3</v>
      </c>
      <c r="H282" s="56">
        <f>IF(I282&lt;&gt;"",I282,IF(G282="","",IF(ROUND(MOD(G282,1),1)&lt;=0.4,INT(G282)-1,INT(G282))))</f>
        <v/>
      </c>
      <c r="I282" s="56" t="n"/>
      <c r="J282" s="57">
        <f>IF(H282="","",IF(LOWER(A282)="gl",H282-2,IF(H282&gt;=60,H282-5,IF(AND(H282&gt;=50,H282&lt;60),H282-4,IF(AND(H282&gt;=10,H282&lt;50),H282-3,H282)))))</f>
        <v/>
      </c>
      <c r="K282" s="57" t="n"/>
    </row>
    <row r="283" ht="15" customHeight="1">
      <c r="A283" s="10" t="inlineStr">
        <is>
          <t>gl</t>
        </is>
      </c>
      <c r="B283" s="2" t="n">
        <v>280</v>
      </c>
      <c r="C283" s="3" t="n"/>
      <c r="D283" s="3" t="n"/>
      <c r="E283" s="2" t="n">
        <v>45</v>
      </c>
      <c r="F283" s="5">
        <f>IF(E283="","",E283*1000)</f>
        <v/>
      </c>
      <c r="G283" s="23" t="n">
        <v>32</v>
      </c>
      <c r="H283" s="56">
        <f>IF(I283&lt;&gt;"",I283,IF(G283="","",IF(ROUND(MOD(G283,1),1)&lt;=0.4,INT(G283)-1,INT(G283))))</f>
        <v/>
      </c>
      <c r="I283" s="56" t="n"/>
      <c r="J283" s="57">
        <f>IF(H283="","",IF(LOWER(A283)="gl",H283-2,IF(H283&gt;=60,H283-5,IF(AND(H283&gt;=50,H283&lt;60),H283-4,IF(AND(H283&gt;=10,H283&lt;50),H283-3,H283)))))</f>
        <v/>
      </c>
      <c r="K283" s="57" t="n"/>
    </row>
    <row r="284" ht="15" customHeight="1">
      <c r="A284" s="10" t="inlineStr">
        <is>
          <t>gl</t>
        </is>
      </c>
      <c r="B284" s="2" t="n">
        <v>281</v>
      </c>
      <c r="C284" s="3" t="n"/>
      <c r="D284" s="3" t="n"/>
      <c r="E284" s="2" t="n">
        <v>45</v>
      </c>
      <c r="F284" s="5">
        <f>IF(E284="","",E284*1000)</f>
        <v/>
      </c>
      <c r="G284" s="23" t="n">
        <v>35.7</v>
      </c>
      <c r="H284" s="56">
        <f>IF(I284&lt;&gt;"",I284,IF(G284="","",IF(ROUND(MOD(G284,1),1)&lt;=0.4,INT(G284)-1,INT(G284))))</f>
        <v/>
      </c>
      <c r="I284" s="56" t="n"/>
      <c r="J284" s="57">
        <f>IF(H284="","",IF(LOWER(A284)="gl",H284-2,IF(H284&gt;=60,H284-5,IF(AND(H284&gt;=50,H284&lt;60),H284-4,IF(AND(H284&gt;=10,H284&lt;50),H284-3,H284)))))</f>
        <v/>
      </c>
      <c r="K284" s="57" t="n"/>
    </row>
    <row r="285" ht="15" customHeight="1">
      <c r="A285" s="10" t="inlineStr">
        <is>
          <t>gl</t>
        </is>
      </c>
      <c r="B285" s="2" t="n">
        <v>282</v>
      </c>
      <c r="C285" s="3" t="n"/>
      <c r="D285" s="3" t="n"/>
      <c r="E285" s="2" t="n">
        <v>44</v>
      </c>
      <c r="F285" s="5">
        <f>IF(E285="","",E285*1000)</f>
        <v/>
      </c>
      <c r="G285" s="23" t="n">
        <v>26.3</v>
      </c>
      <c r="H285" s="56">
        <f>IF(I285&lt;&gt;"",I285,IF(G285="","",IF(ROUND(MOD(G285,1),1)&lt;=0.4,INT(G285)-1,INT(G285))))</f>
        <v/>
      </c>
      <c r="I285" s="56" t="n"/>
      <c r="J285" s="57">
        <f>IF(H285="","",IF(LOWER(A285)="gl",H285-2,IF(H285&gt;=60,H285-5,IF(AND(H285&gt;=50,H285&lt;60),H285-4,IF(AND(H285&gt;=10,H285&lt;50),H285-3,H285)))))</f>
        <v/>
      </c>
      <c r="K285" s="57" t="n"/>
    </row>
    <row r="286" ht="15" customHeight="1" thickBot="1">
      <c r="A286" s="10" t="inlineStr">
        <is>
          <t>gl</t>
        </is>
      </c>
      <c r="B286" s="35" t="n">
        <v>283</v>
      </c>
      <c r="C286" s="36" t="n"/>
      <c r="D286" s="36" t="n"/>
      <c r="E286" s="35" t="n">
        <v>45</v>
      </c>
      <c r="F286" s="37">
        <f>IF(E286="","",E286*1000)</f>
        <v/>
      </c>
      <c r="G286" s="34" t="n">
        <v>27.3</v>
      </c>
      <c r="H286" s="56">
        <f>IF(I286&lt;&gt;"",I286,IF(G286="","",IF(ROUND(MOD(G286,1),1)&lt;=0.4,INT(G286)-1,INT(G286))))</f>
        <v/>
      </c>
      <c r="I286" s="56" t="n"/>
      <c r="J286" s="57">
        <f>IF(H286="","",IF(LOWER(A286)="gl",H286-2,IF(H286&gt;=60,H286-5,IF(AND(H286&gt;=50,H286&lt;60),H286-4,IF(AND(H286&gt;=10,H286&lt;50),H286-3,H286)))))</f>
        <v/>
      </c>
      <c r="K286" s="57" t="n"/>
    </row>
    <row r="287" ht="15" customHeight="1">
      <c r="A287" s="10" t="inlineStr">
        <is>
          <t>gl</t>
        </is>
      </c>
      <c r="B287" s="10" t="n">
        <v>284</v>
      </c>
      <c r="C287" s="11" t="n"/>
      <c r="D287" s="11" t="inlineStr">
        <is>
          <t>Bahruddin (2)</t>
        </is>
      </c>
      <c r="E287" s="10" t="n">
        <v>42</v>
      </c>
      <c r="F287" s="13">
        <f>IF(E287="","",E287*1000)</f>
        <v/>
      </c>
      <c r="G287" s="27" t="n">
        <v>42.3</v>
      </c>
      <c r="H287" s="56">
        <f>IF(I287&lt;&gt;"",I287,IF(G287="","",IF(ROUND(MOD(G287,1),1)&lt;=0.4,INT(G287)-1,INT(G287))))</f>
        <v/>
      </c>
      <c r="I287" s="56" t="n"/>
      <c r="J287" s="57">
        <f>IF(H287="","",IF(LOWER(A287)="gl",H287-2,IF(H287&gt;=60,H287-5,IF(AND(H287&gt;=50,H287&lt;60),H287-4,IF(AND(H287&gt;=10,H287&lt;50),H287-3,H287)))))</f>
        <v/>
      </c>
      <c r="K287" s="57" t="inlineStr">
        <is>
          <t>ada bs</t>
        </is>
      </c>
      <c r="L287" s="2" t="inlineStr">
        <is>
          <t>bs</t>
        </is>
      </c>
      <c r="M287" s="3" t="n"/>
      <c r="N287" s="2" t="n">
        <v>20</v>
      </c>
      <c r="O287" s="5">
        <f>IF(N287="","",N287*1000)</f>
        <v/>
      </c>
      <c r="P287" s="23" t="n">
        <v>32.5</v>
      </c>
      <c r="Q287" s="7">
        <f>IF(P287="","",IF(AND(ROUND(MOD(P287,1),1)&gt;0,ROUND(MOD(P287,1),1)&lt;=0.3),INT(P287)-1,INT(P287)))</f>
        <v/>
      </c>
      <c r="R287" s="7">
        <f>IF(P287="","",IF(LOWER(K287)="gl",P287-2,IF(AND(P287&gt;=60,P287&lt;=70),P287-5,IF(AND(P287&gt;=50,P287&lt;60),P287-4,IF(AND(P287&gt;=10,P287&lt;50),P287-3,P287)))))</f>
        <v/>
      </c>
    </row>
    <row r="288" ht="15" customHeight="1">
      <c r="A288" s="10" t="inlineStr">
        <is>
          <t>gl</t>
        </is>
      </c>
      <c r="B288" s="2" t="n">
        <v>285</v>
      </c>
      <c r="C288" s="3" t="n"/>
      <c r="D288" s="18" t="inlineStr">
        <is>
          <t>(13/8/26)</t>
        </is>
      </c>
      <c r="E288" s="2" t="n">
        <v>42</v>
      </c>
      <c r="F288" s="5">
        <f>IF(E288="","",E288*1000)</f>
        <v/>
      </c>
      <c r="G288" s="23" t="n">
        <v>39.6</v>
      </c>
      <c r="H288" s="56">
        <f>IF(I288&lt;&gt;"",I288,IF(G288="","",IF(ROUND(MOD(G288,1),1)&lt;=0.4,INT(G288)-1,INT(G288))))</f>
        <v/>
      </c>
      <c r="I288" s="56" t="n"/>
      <c r="J288" s="57">
        <f>IF(H288="","",IF(LOWER(A288)="gl",H288-2,IF(H288&gt;=60,H288-5,IF(AND(H288&gt;=50,H288&lt;60),H288-4,IF(AND(H288&gt;=10,H288&lt;50),H288-3,H288)))))</f>
        <v/>
      </c>
      <c r="K288" s="57" t="inlineStr">
        <is>
          <t>ada bs</t>
        </is>
      </c>
      <c r="L288" s="2" t="inlineStr">
        <is>
          <t>bs</t>
        </is>
      </c>
      <c r="M288" s="3" t="n"/>
      <c r="N288" s="2" t="n">
        <v>25</v>
      </c>
      <c r="O288" s="5">
        <f>IF(N288="","",N288*1000)</f>
        <v/>
      </c>
      <c r="P288" s="23" t="n">
        <v>35.3</v>
      </c>
      <c r="Q288" s="7">
        <f>IF(P288="","",IF(AND(ROUND(MOD(P288,1),1)&gt;0,ROUND(MOD(P288,1),1)&lt;=0.3),INT(P288)-1,INT(P288)))</f>
        <v/>
      </c>
      <c r="R288" s="7">
        <f>IF(P288="","",IF(LOWER(K288)="gl",P288-2,IF(AND(P288&gt;=60,P288&lt;=70),P288-5,IF(AND(P288&gt;=50,P288&lt;60),P288-4,IF(AND(P288&gt;=10,P288&lt;50),P288-3,P288)))))</f>
        <v/>
      </c>
    </row>
    <row r="289" ht="15" customHeight="1">
      <c r="A289" s="10" t="inlineStr">
        <is>
          <t>gl</t>
        </is>
      </c>
      <c r="B289" s="2" t="n">
        <v>286</v>
      </c>
      <c r="C289" s="3" t="n"/>
      <c r="D289" s="3" t="n"/>
      <c r="E289" s="2" t="n">
        <v>42</v>
      </c>
      <c r="F289" s="5">
        <f>IF(E289="","",E289*1000)</f>
        <v/>
      </c>
      <c r="G289" s="23" t="n">
        <v>39.8</v>
      </c>
      <c r="H289" s="56">
        <f>IF(I289&lt;&gt;"",I289,IF(G289="","",IF(ROUND(MOD(G289,1),1)&lt;=0.4,INT(G289)-1,INT(G289))))</f>
        <v/>
      </c>
      <c r="I289" s="56" t="n"/>
      <c r="J289" s="57">
        <f>IF(H289="","",IF(LOWER(A289)="gl",H289-2,IF(H289&gt;=60,H289-5,IF(AND(H289&gt;=50,H289&lt;60),H289-4,IF(AND(H289&gt;=10,H289&lt;50),H289-3,H289)))))</f>
        <v/>
      </c>
      <c r="K289" s="57" t="inlineStr">
        <is>
          <t>ada bs</t>
        </is>
      </c>
      <c r="L289" s="2" t="inlineStr">
        <is>
          <t>bs</t>
        </is>
      </c>
      <c r="M289" s="3" t="n"/>
      <c r="N289" s="2" t="n">
        <v>30</v>
      </c>
      <c r="O289" s="5">
        <f>IF(N289="","",N289*1000)</f>
        <v/>
      </c>
      <c r="P289" s="23" t="n">
        <v>24.9</v>
      </c>
      <c r="Q289" s="7">
        <f>IF(P289="","",IF(AND(ROUND(MOD(P289,1),1)&gt;0,ROUND(MOD(P289,1),1)&lt;=0.3),INT(P289)-1,INT(P289)))</f>
        <v/>
      </c>
      <c r="R289" s="7">
        <f>IF(P289="","",IF(LOWER(K289)="gl",P289-2,IF(AND(P289&gt;=60,P289&lt;=70),P289-5,IF(AND(P289&gt;=50,P289&lt;60),P289-4,IF(AND(P289&gt;=10,P289&lt;50),P289-3,P289)))))</f>
        <v/>
      </c>
    </row>
    <row r="290" ht="15" customHeight="1">
      <c r="A290" s="10" t="inlineStr">
        <is>
          <t>gl</t>
        </is>
      </c>
      <c r="B290" s="2" t="n">
        <v>287</v>
      </c>
      <c r="C290" s="3" t="n"/>
      <c r="D290" s="3" t="n"/>
      <c r="E290" s="2" t="n">
        <v>42</v>
      </c>
      <c r="F290" s="5">
        <f>IF(E290="","",E290*1000)</f>
        <v/>
      </c>
      <c r="G290" s="23" t="n">
        <v>32.2</v>
      </c>
      <c r="H290" s="56">
        <f>IF(I290&lt;&gt;"",I290,IF(G290="","",IF(ROUND(MOD(G290,1),1)&lt;=0.4,INT(G290)-1,INT(G290))))</f>
        <v/>
      </c>
      <c r="I290" s="56" t="n"/>
      <c r="J290" s="57">
        <f>IF(H290="","",IF(LOWER(A290)="gl",H290-2,IF(H290&gt;=60,H290-5,IF(AND(H290&gt;=50,H290&lt;60),H290-4,IF(AND(H290&gt;=10,H290&lt;50),H290-3,H290)))))</f>
        <v/>
      </c>
      <c r="K290" s="57" t="n"/>
    </row>
    <row r="291" ht="15" customHeight="1" thickBot="1">
      <c r="A291" s="10" t="inlineStr">
        <is>
          <t>gl</t>
        </is>
      </c>
      <c r="B291" s="35" t="n">
        <v>288</v>
      </c>
      <c r="C291" s="36" t="n"/>
      <c r="D291" s="36" t="n"/>
      <c r="E291" s="35" t="n">
        <v>42</v>
      </c>
      <c r="F291" s="37">
        <f>IF(E291="","",E291*1000)</f>
        <v/>
      </c>
      <c r="G291" s="34" t="n">
        <v>38.5</v>
      </c>
      <c r="H291" s="56">
        <f>IF(I291&lt;&gt;"",I291,IF(G291="","",IF(ROUND(MOD(G291,1),1)&lt;=0.4,INT(G291)-1,INT(G291))))</f>
        <v/>
      </c>
      <c r="I291" s="56" t="n"/>
      <c r="J291" s="57">
        <f>IF(H291="","",IF(LOWER(A291)="gl",H291-2,IF(H291&gt;=60,H291-5,IF(AND(H291&gt;=50,H291&lt;60),H291-4,IF(AND(H291&gt;=10,H291&lt;50),H291-3,H291)))))</f>
        <v/>
      </c>
      <c r="K291" s="57" t="n"/>
    </row>
    <row r="292" ht="15" customHeight="1">
      <c r="A292" s="10" t="inlineStr">
        <is>
          <t>gl</t>
        </is>
      </c>
      <c r="B292" s="10" t="n">
        <v>289</v>
      </c>
      <c r="C292" s="11" t="n"/>
      <c r="D292" s="11" t="inlineStr">
        <is>
          <t>H. MAHFUD</t>
        </is>
      </c>
      <c r="E292" s="10" t="n">
        <v>60</v>
      </c>
      <c r="F292" s="13">
        <f>IF(E292="","",E292*1000)</f>
        <v/>
      </c>
      <c r="G292" s="27" t="n">
        <v>47.3</v>
      </c>
      <c r="H292" s="56">
        <f>IF(I292&lt;&gt;"",I292,IF(G292="","",IF(ROUND(MOD(G292,1),1)&lt;=0.4,INT(G292)-1,INT(G292))))</f>
        <v/>
      </c>
      <c r="I292" s="56" t="n"/>
      <c r="J292" s="57">
        <f>IF(H292="","",IF(LOWER(A292)="gl",H292-2,IF(H292&gt;=60,H292-5,IF(AND(H292&gt;=50,H292&lt;60),H292-4,IF(AND(H292&gt;=10,H292&lt;50),H292-3,H292)))))</f>
        <v/>
      </c>
      <c r="K292" s="57" t="n"/>
    </row>
    <row r="293" ht="15" customHeight="1">
      <c r="A293" s="10" t="inlineStr">
        <is>
          <t>gl</t>
        </is>
      </c>
      <c r="B293" s="2" t="n">
        <v>290</v>
      </c>
      <c r="C293" s="3" t="n"/>
      <c r="D293" s="18" t="inlineStr">
        <is>
          <t>(14/8/26)</t>
        </is>
      </c>
      <c r="E293" s="2" t="n">
        <v>60</v>
      </c>
      <c r="F293" s="5">
        <f>IF(E293="","",E293*1000)</f>
        <v/>
      </c>
      <c r="G293" s="23" t="n">
        <v>45.1</v>
      </c>
      <c r="H293" s="56">
        <f>IF(I293&lt;&gt;"",I293,IF(G293="","",IF(ROUND(MOD(G293,1),1)&lt;=0.4,INT(G293)-1,INT(G293))))</f>
        <v/>
      </c>
      <c r="I293" s="56" t="n"/>
      <c r="J293" s="57">
        <f>IF(H293="","",IF(LOWER(A293)="gl",H293-2,IF(H293&gt;=60,H293-5,IF(AND(H293&gt;=50,H293&lt;60),H293-4,IF(AND(H293&gt;=10,H293&lt;50),H293-3,H293)))))</f>
        <v/>
      </c>
      <c r="K293" s="57" t="n"/>
    </row>
    <row r="294" ht="15" customHeight="1">
      <c r="A294" s="10" t="inlineStr">
        <is>
          <t>gl</t>
        </is>
      </c>
      <c r="B294" s="2" t="n">
        <v>291</v>
      </c>
      <c r="C294" s="3" t="n"/>
      <c r="D294" s="3" t="inlineStr">
        <is>
          <t>Pegantenan</t>
        </is>
      </c>
      <c r="E294" s="2" t="n">
        <v>57</v>
      </c>
      <c r="F294" s="5">
        <f>IF(E294="","",E294*1000)</f>
        <v/>
      </c>
      <c r="G294" s="23" t="n">
        <v>40.1</v>
      </c>
      <c r="H294" s="56">
        <f>IF(I294&lt;&gt;"",I294,IF(G294="","",IF(ROUND(MOD(G294,1),1)&lt;=0.4,INT(G294)-1,INT(G294))))</f>
        <v/>
      </c>
      <c r="I294" s="56" t="n"/>
      <c r="J294" s="57">
        <f>IF(H294="","",IF(LOWER(A294)="gl",H294-2,IF(H294&gt;=60,H294-5,IF(AND(H294&gt;=50,H294&lt;60),H294-4,IF(AND(H294&gt;=10,H294&lt;50),H294-3,H294)))))</f>
        <v/>
      </c>
      <c r="K294" s="57" t="n"/>
    </row>
    <row r="295" ht="15" customHeight="1">
      <c r="A295" s="10" t="inlineStr">
        <is>
          <t>gl</t>
        </is>
      </c>
      <c r="B295" s="2" t="n">
        <v>292</v>
      </c>
      <c r="C295" s="3" t="n"/>
      <c r="D295" s="3" t="n"/>
      <c r="E295" s="2" t="n">
        <v>57</v>
      </c>
      <c r="F295" s="5">
        <f>IF(E295="","",E295*1000)</f>
        <v/>
      </c>
      <c r="G295" s="23" t="n">
        <v>33.7</v>
      </c>
      <c r="H295" s="56">
        <f>IF(I295&lt;&gt;"",I295,IF(G295="","",IF(ROUND(MOD(G295,1),1)&lt;=0.4,INT(G295)-1,INT(G295))))</f>
        <v/>
      </c>
      <c r="I295" s="56" t="n"/>
      <c r="J295" s="57">
        <f>IF(H295="","",IF(LOWER(A295)="gl",H295-2,IF(H295&gt;=60,H295-5,IF(AND(H295&gt;=50,H295&lt;60),H295-4,IF(AND(H295&gt;=10,H295&lt;50),H295-3,H295)))))</f>
        <v/>
      </c>
      <c r="K295" s="57" t="n"/>
    </row>
    <row r="296" ht="15" customHeight="1">
      <c r="A296" s="10" t="inlineStr">
        <is>
          <t>gl</t>
        </is>
      </c>
      <c r="B296" s="2" t="n">
        <v>293</v>
      </c>
      <c r="C296" s="3" t="n"/>
      <c r="D296" s="3" t="n"/>
      <c r="E296" s="2" t="n">
        <v>53</v>
      </c>
      <c r="F296" s="5">
        <f>IF(E296="","",E296*1000)</f>
        <v/>
      </c>
      <c r="G296" s="23" t="n">
        <v>40.3</v>
      </c>
      <c r="H296" s="56">
        <f>IF(I296&lt;&gt;"",I296,IF(G296="","",IF(ROUND(MOD(G296,1),1)&lt;=0.4,INT(G296)-1,INT(G296))))</f>
        <v/>
      </c>
      <c r="I296" s="56" t="n"/>
      <c r="J296" s="57">
        <f>IF(H296="","",IF(LOWER(A296)="gl",H296-2,IF(H296&gt;=60,H296-5,IF(AND(H296&gt;=50,H296&lt;60),H296-4,IF(AND(H296&gt;=10,H296&lt;50),H296-3,H296)))))</f>
        <v/>
      </c>
      <c r="K296" s="57" t="n"/>
    </row>
    <row r="297" ht="15" customHeight="1">
      <c r="A297" s="10" t="inlineStr">
        <is>
          <t>gl</t>
        </is>
      </c>
      <c r="B297" s="2" t="n">
        <v>294</v>
      </c>
      <c r="C297" s="3" t="n"/>
      <c r="D297" s="3" t="n"/>
      <c r="E297" s="2" t="n">
        <v>53</v>
      </c>
      <c r="F297" s="5">
        <f>IF(E297="","",E297*1000)</f>
        <v/>
      </c>
      <c r="G297" s="23" t="n">
        <v>28.8</v>
      </c>
      <c r="H297" s="56">
        <f>IF(I297&lt;&gt;"",I297,IF(G297="","",IF(ROUND(MOD(G297,1),1)&lt;=0.4,INT(G297)-1,INT(G297))))</f>
        <v/>
      </c>
      <c r="I297" s="56" t="n"/>
      <c r="J297" s="57">
        <f>IF(H297="","",IF(LOWER(A297)="gl",H297-2,IF(H297&gt;=60,H297-5,IF(AND(H297&gt;=50,H297&lt;60),H297-4,IF(AND(H297&gt;=10,H297&lt;50),H297-3,H297)))))</f>
        <v/>
      </c>
      <c r="K297" s="57" t="n"/>
    </row>
    <row r="298" ht="15" customHeight="1">
      <c r="A298" s="10" t="inlineStr">
        <is>
          <t>gl</t>
        </is>
      </c>
      <c r="B298" s="2" t="n">
        <v>295</v>
      </c>
      <c r="C298" s="3" t="n"/>
      <c r="D298" s="3" t="n"/>
      <c r="E298" s="2" t="n">
        <v>53</v>
      </c>
      <c r="F298" s="5">
        <f>IF(E298="","",E298*1000)</f>
        <v/>
      </c>
      <c r="G298" s="23" t="n">
        <v>38.4</v>
      </c>
      <c r="H298" s="56">
        <f>IF(I298&lt;&gt;"",I298,IF(G298="","",IF(ROUND(MOD(G298,1),1)&lt;=0.4,INT(G298)-1,INT(G298))))</f>
        <v/>
      </c>
      <c r="I298" s="56" t="n"/>
      <c r="J298" s="57">
        <f>IF(H298="","",IF(LOWER(A298)="gl",H298-2,IF(H298&gt;=60,H298-5,IF(AND(H298&gt;=50,H298&lt;60),H298-4,IF(AND(H298&gt;=10,H298&lt;50),H298-3,H298)))))</f>
        <v/>
      </c>
      <c r="K298" s="57" t="n"/>
    </row>
    <row r="299" ht="15" customHeight="1">
      <c r="A299" s="10" t="inlineStr">
        <is>
          <t>gl</t>
        </is>
      </c>
      <c r="B299" s="2" t="n">
        <v>296</v>
      </c>
      <c r="C299" s="3" t="n"/>
      <c r="D299" s="3" t="n"/>
      <c r="E299" s="2" t="n">
        <v>53</v>
      </c>
      <c r="F299" s="5">
        <f>IF(E299="","",E299*1000)</f>
        <v/>
      </c>
      <c r="G299" s="23" t="n">
        <v>44.7</v>
      </c>
      <c r="H299" s="56">
        <f>IF(I299&lt;&gt;"",I299,IF(G299="","",IF(ROUND(MOD(G299,1),1)&lt;=0.4,INT(G299)-1,INT(G299))))</f>
        <v/>
      </c>
      <c r="I299" s="56" t="n"/>
      <c r="J299" s="57">
        <f>IF(H299="","",IF(LOWER(A299)="gl",H299-2,IF(H299&gt;=60,H299-5,IF(AND(H299&gt;=50,H299&lt;60),H299-4,IF(AND(H299&gt;=10,H299&lt;50),H299-3,H299)))))</f>
        <v/>
      </c>
      <c r="K299" s="57" t="n"/>
    </row>
    <row r="300" ht="15" customHeight="1">
      <c r="A300" s="10" t="inlineStr">
        <is>
          <t>gl</t>
        </is>
      </c>
      <c r="B300" s="2" t="n">
        <v>297</v>
      </c>
      <c r="C300" s="3" t="n"/>
      <c r="D300" s="3" t="n"/>
      <c r="E300" s="2" t="n">
        <v>47</v>
      </c>
      <c r="F300" s="5">
        <f>IF(E300="","",E300*1000)</f>
        <v/>
      </c>
      <c r="G300" s="23" t="n">
        <v>28</v>
      </c>
      <c r="H300" s="56">
        <f>IF(I300&lt;&gt;"",I300,IF(G300="","",IF(ROUND(MOD(G300,1),1)&lt;=0.4,INT(G300)-1,INT(G300))))</f>
        <v/>
      </c>
      <c r="I300" s="56" t="n"/>
      <c r="J300" s="57">
        <f>IF(H300="","",IF(LOWER(A300)="gl",H300-2,IF(H300&gt;=60,H300-5,IF(AND(H300&gt;=50,H300&lt;60),H300-4,IF(AND(H300&gt;=10,H300&lt;50),H300-3,H300)))))</f>
        <v/>
      </c>
      <c r="K300" s="57" t="n"/>
    </row>
    <row r="301" ht="15" customHeight="1">
      <c r="A301" s="10" t="inlineStr">
        <is>
          <t>gl</t>
        </is>
      </c>
      <c r="B301" s="2" t="n">
        <v>298</v>
      </c>
      <c r="C301" s="3" t="n"/>
      <c r="D301" s="3" t="n"/>
      <c r="E301" s="2" t="n">
        <v>53</v>
      </c>
      <c r="F301" s="5">
        <f>IF(E301="","",E301*1000)</f>
        <v/>
      </c>
      <c r="G301" s="23" t="n">
        <v>39.6</v>
      </c>
      <c r="H301" s="56">
        <f>IF(I301&lt;&gt;"",I301,IF(G301="","",IF(ROUND(MOD(G301,1),1)&lt;=0.4,INT(G301)-1,INT(G301))))</f>
        <v/>
      </c>
      <c r="I301" s="56" t="n"/>
      <c r="J301" s="57">
        <f>IF(H301="","",IF(LOWER(A301)="gl",H301-2,IF(H301&gt;=60,H301-5,IF(AND(H301&gt;=50,H301&lt;60),H301-4,IF(AND(H301&gt;=10,H301&lt;50),H301-3,H301)))))</f>
        <v/>
      </c>
      <c r="K301" s="57" t="n"/>
    </row>
    <row r="302" ht="15" customHeight="1">
      <c r="A302" s="10" t="inlineStr">
        <is>
          <t>gl</t>
        </is>
      </c>
      <c r="B302" s="2" t="n">
        <v>299</v>
      </c>
      <c r="C302" s="3" t="n"/>
      <c r="D302" s="3" t="n"/>
      <c r="E302" s="2" t="n">
        <v>53</v>
      </c>
      <c r="F302" s="5">
        <f>IF(E302="","",E302*1000)</f>
        <v/>
      </c>
      <c r="G302" s="23" t="n">
        <v>39</v>
      </c>
      <c r="H302" s="56">
        <f>IF(I302&lt;&gt;"",I302,IF(G302="","",IF(ROUND(MOD(G302,1),1)&lt;=0.4,INT(G302)-1,INT(G302))))</f>
        <v/>
      </c>
      <c r="I302" s="56" t="n"/>
      <c r="J302" s="57">
        <f>IF(H302="","",IF(LOWER(A302)="gl",H302-2,IF(H302&gt;=60,H302-5,IF(AND(H302&gt;=50,H302&lt;60),H302-4,IF(AND(H302&gt;=10,H302&lt;50),H302-3,H302)))))</f>
        <v/>
      </c>
      <c r="K302" s="57" t="n"/>
    </row>
    <row r="303" ht="15" customHeight="1">
      <c r="A303" s="10" t="inlineStr">
        <is>
          <t>gl</t>
        </is>
      </c>
      <c r="B303" s="2" t="n">
        <v>300</v>
      </c>
      <c r="C303" s="3" t="n"/>
      <c r="D303" s="3" t="n"/>
      <c r="E303" s="2" t="n">
        <v>45</v>
      </c>
      <c r="F303" s="5">
        <f>IF(E303="","",E303*1000)</f>
        <v/>
      </c>
      <c r="G303" s="23" t="n">
        <v>45.8</v>
      </c>
      <c r="H303" s="56">
        <f>IF(I303&lt;&gt;"",I303,IF(G303="","",IF(ROUND(MOD(G303,1),1)&lt;=0.4,INT(G303)-1,INT(G303))))</f>
        <v/>
      </c>
      <c r="I303" s="56" t="n"/>
      <c r="J303" s="57">
        <f>IF(H303="","",IF(LOWER(A303)="gl",H303-2,IF(H303&gt;=60,H303-5,IF(AND(H303&gt;=50,H303&lt;60),H303-4,IF(AND(H303&gt;=10,H303&lt;50),H303-3,H303)))))</f>
        <v/>
      </c>
      <c r="K303" s="57" t="n"/>
    </row>
    <row r="304" ht="15" customHeight="1">
      <c r="A304" s="10" t="inlineStr">
        <is>
          <t>gl</t>
        </is>
      </c>
      <c r="B304" s="2" t="n">
        <v>301</v>
      </c>
      <c r="C304" s="3" t="n"/>
      <c r="D304" s="3" t="n"/>
      <c r="E304" s="2" t="n">
        <v>53</v>
      </c>
      <c r="F304" s="5">
        <f>IF(E304="","",E304*1000)</f>
        <v/>
      </c>
      <c r="G304" s="23" t="n">
        <v>31.3</v>
      </c>
      <c r="H304" s="56">
        <f>IF(I304&lt;&gt;"",I304,IF(G304="","",IF(ROUND(MOD(G304,1),1)&lt;=0.4,INT(G304)-1,INT(G304))))</f>
        <v/>
      </c>
      <c r="I304" s="56" t="n"/>
      <c r="J304" s="57">
        <f>IF(H304="","",IF(LOWER(A304)="gl",H304-2,IF(H304&gt;=60,H304-5,IF(AND(H304&gt;=50,H304&lt;60),H304-4,IF(AND(H304&gt;=10,H304&lt;50),H304-3,H304)))))</f>
        <v/>
      </c>
      <c r="K304" s="57" t="n"/>
    </row>
    <row r="305" ht="15" customHeight="1">
      <c r="A305" s="10" t="inlineStr">
        <is>
          <t>gl</t>
        </is>
      </c>
      <c r="B305" s="2" t="n">
        <v>302</v>
      </c>
      <c r="C305" s="3" t="n"/>
      <c r="D305" s="3" t="n"/>
      <c r="E305" s="2" t="n">
        <v>45</v>
      </c>
      <c r="F305" s="5">
        <f>IF(E305="","",E305*1000)</f>
        <v/>
      </c>
      <c r="G305" s="23" t="n">
        <v>30</v>
      </c>
      <c r="H305" s="56">
        <f>IF(I305&lt;&gt;"",I305,IF(G305="","",IF(ROUND(MOD(G305,1),1)&lt;=0.4,INT(G305)-1,INT(G305))))</f>
        <v/>
      </c>
      <c r="I305" s="56" t="n"/>
      <c r="J305" s="57">
        <f>IF(H305="","",IF(LOWER(A305)="gl",H305-2,IF(H305&gt;=60,H305-5,IF(AND(H305&gt;=50,H305&lt;60),H305-4,IF(AND(H305&gt;=10,H305&lt;50),H305-3,H305)))))</f>
        <v/>
      </c>
      <c r="K305" s="57" t="n"/>
    </row>
    <row r="306" ht="15" customHeight="1">
      <c r="A306" s="10" t="inlineStr">
        <is>
          <t>gl</t>
        </is>
      </c>
      <c r="B306" s="2" t="n">
        <v>303</v>
      </c>
      <c r="C306" s="3" t="n"/>
      <c r="D306" s="3" t="n"/>
      <c r="E306" s="2" t="n">
        <v>42</v>
      </c>
      <c r="F306" s="5">
        <f>IF(E306="","",E306*1000)</f>
        <v/>
      </c>
      <c r="G306" s="23" t="n">
        <v>48.4</v>
      </c>
      <c r="H306" s="56">
        <f>IF(I306&lt;&gt;"",I306,IF(G306="","",IF(ROUND(MOD(G306,1),1)&lt;=0.4,INT(G306)-1,INT(G306))))</f>
        <v/>
      </c>
      <c r="I306" s="56" t="n"/>
      <c r="J306" s="57">
        <f>IF(H306="","",IF(LOWER(A306)="gl",H306-2,IF(H306&gt;=60,H306-5,IF(AND(H306&gt;=50,H306&lt;60),H306-4,IF(AND(H306&gt;=10,H306&lt;50),H306-3,H306)))))</f>
        <v/>
      </c>
      <c r="K306" s="57" t="n"/>
    </row>
    <row r="307" ht="15" customHeight="1">
      <c r="A307" s="10" t="inlineStr">
        <is>
          <t>gl</t>
        </is>
      </c>
      <c r="B307" s="2" t="n">
        <v>304</v>
      </c>
      <c r="C307" s="3" t="n"/>
      <c r="D307" s="3" t="n"/>
      <c r="E307" s="2" t="n">
        <v>42</v>
      </c>
      <c r="F307" s="5">
        <f>IF(E307="","",E307*1000)</f>
        <v/>
      </c>
      <c r="G307" s="23" t="n">
        <v>29</v>
      </c>
      <c r="H307" s="56">
        <f>IF(I307&lt;&gt;"",I307,IF(G307="","",IF(ROUND(MOD(G307,1),1)&lt;=0.4,INT(G307)-1,INT(G307))))</f>
        <v/>
      </c>
      <c r="I307" s="56" t="n"/>
      <c r="J307" s="57">
        <f>IF(H307="","",IF(LOWER(A307)="gl",H307-2,IF(H307&gt;=60,H307-5,IF(AND(H307&gt;=50,H307&lt;60),H307-4,IF(AND(H307&gt;=10,H307&lt;50),H307-3,H307)))))</f>
        <v/>
      </c>
      <c r="K307" s="57" t="n"/>
    </row>
    <row r="308" ht="15" customHeight="1">
      <c r="A308" s="10" t="inlineStr">
        <is>
          <t>gl</t>
        </is>
      </c>
      <c r="B308" s="2" t="n">
        <v>305</v>
      </c>
      <c r="C308" s="3" t="n"/>
      <c r="D308" s="3" t="n"/>
      <c r="E308" s="2" t="n">
        <v>56</v>
      </c>
      <c r="F308" s="5">
        <f>IF(E308="","",E308*1000)</f>
        <v/>
      </c>
      <c r="G308" s="23" t="n">
        <v>38.4</v>
      </c>
      <c r="H308" s="56">
        <f>IF(I308&lt;&gt;"",I308,IF(G308="","",IF(ROUND(MOD(G308,1),1)&lt;=0.4,INT(G308)-1,INT(G308))))</f>
        <v/>
      </c>
      <c r="I308" s="56" t="n"/>
      <c r="J308" s="57">
        <f>IF(H308="","",IF(LOWER(A308)="gl",H308-2,IF(H308&gt;=60,H308-5,IF(AND(H308&gt;=50,H308&lt;60),H308-4,IF(AND(H308&gt;=10,H308&lt;50),H308-3,H308)))))</f>
        <v/>
      </c>
      <c r="K308" s="57" t="n"/>
    </row>
    <row r="309" ht="15" customHeight="1">
      <c r="A309" s="10" t="inlineStr">
        <is>
          <t>gl</t>
        </is>
      </c>
      <c r="B309" s="2" t="n">
        <v>306</v>
      </c>
      <c r="C309" s="3" t="n"/>
      <c r="D309" s="3" t="n"/>
      <c r="E309" s="2" t="n">
        <v>56</v>
      </c>
      <c r="F309" s="5">
        <f>IF(E309="","",E309*1000)</f>
        <v/>
      </c>
      <c r="G309" s="23" t="n">
        <v>34.6</v>
      </c>
      <c r="H309" s="56">
        <f>IF(I309&lt;&gt;"",I309,IF(G309="","",IF(ROUND(MOD(G309,1),1)&lt;=0.4,INT(G309)-1,INT(G309))))</f>
        <v/>
      </c>
      <c r="I309" s="56" t="n"/>
      <c r="J309" s="57">
        <f>IF(H309="","",IF(LOWER(A309)="gl",H309-2,IF(H309&gt;=60,H309-5,IF(AND(H309&gt;=50,H309&lt;60),H309-4,IF(AND(H309&gt;=10,H309&lt;50),H309-3,H309)))))</f>
        <v/>
      </c>
      <c r="K309" s="57" t="n"/>
    </row>
    <row r="310" ht="15" customHeight="1">
      <c r="A310" s="10" t="inlineStr">
        <is>
          <t>gl</t>
        </is>
      </c>
      <c r="B310" s="2" t="n">
        <v>307</v>
      </c>
      <c r="C310" s="3" t="n"/>
      <c r="D310" s="3" t="n"/>
      <c r="E310" s="2" t="n">
        <v>55</v>
      </c>
      <c r="F310" s="5">
        <f>IF(E310="","",E310*1000)</f>
        <v/>
      </c>
      <c r="G310" s="23" t="n">
        <v>46.9</v>
      </c>
      <c r="H310" s="56">
        <f>IF(I310&lt;&gt;"",I310,IF(G310="","",IF(ROUND(MOD(G310,1),1)&lt;=0.4,INT(G310)-1,INT(G310))))</f>
        <v/>
      </c>
      <c r="I310" s="56" t="n"/>
      <c r="J310" s="57">
        <f>IF(H310="","",IF(LOWER(A310)="gl",H310-2,IF(H310&gt;=60,H310-5,IF(AND(H310&gt;=50,H310&lt;60),H310-4,IF(AND(H310&gt;=10,H310&lt;50),H310-3,H310)))))</f>
        <v/>
      </c>
      <c r="K310" s="57" t="n"/>
    </row>
    <row r="311" ht="15" customHeight="1" thickBot="1">
      <c r="A311" s="35" t="inlineStr">
        <is>
          <t>gl</t>
        </is>
      </c>
      <c r="B311" s="35" t="n">
        <v>308</v>
      </c>
      <c r="C311" s="36" t="n"/>
      <c r="D311" s="36" t="n"/>
      <c r="E311" s="35" t="n">
        <v>55</v>
      </c>
      <c r="F311" s="37">
        <f>IF(E311="","",E311*1000)</f>
        <v/>
      </c>
      <c r="G311" s="34" t="n">
        <v>39.5</v>
      </c>
      <c r="H311" s="56">
        <f>IF(I311&lt;&gt;"",I311,IF(G311="","",IF(ROUND(MOD(G311,1),1)&lt;=0.4,INT(G311)-1,INT(G311))))</f>
        <v/>
      </c>
      <c r="I311" s="56" t="n"/>
      <c r="J311" s="57">
        <f>IF(H311="","",IF(LOWER(A311)="gl",H311-2,IF(H311&gt;=60,H311-5,IF(AND(H311&gt;=50,H311&lt;60),H311-4,IF(AND(H311&gt;=10,H311&lt;50),H311-3,H311)))))</f>
        <v/>
      </c>
      <c r="K311" s="57" t="n"/>
    </row>
    <row r="312" ht="15" customHeight="1">
      <c r="A312" s="10" t="inlineStr">
        <is>
          <t>gl</t>
        </is>
      </c>
      <c r="B312" s="10" t="n">
        <v>309</v>
      </c>
      <c r="C312" s="11" t="n"/>
      <c r="D312" s="11" t="inlineStr">
        <is>
          <t>Bahruddin</t>
        </is>
      </c>
      <c r="E312" s="10" t="n">
        <v>50</v>
      </c>
      <c r="F312" s="13">
        <f>IF(E312="","",E312*1000)</f>
        <v/>
      </c>
      <c r="G312" s="27" t="n">
        <v>49.9</v>
      </c>
      <c r="H312" s="56">
        <f>IF(I312&lt;&gt;"",I312,IF(G312="","",IF(ROUND(MOD(G312,1),1)&lt;=0.4,INT(G312)-1,INT(G312))))</f>
        <v/>
      </c>
      <c r="I312" s="56" t="n"/>
      <c r="J312" s="57">
        <f>IF(H312="","",IF(LOWER(A312)="gl",H312-2,IF(H312&gt;=60,H312-5,IF(AND(H312&gt;=50,H312&lt;60),H312-4,IF(AND(H312&gt;=10,H312&lt;50),H312-3,H312)))))</f>
        <v/>
      </c>
      <c r="K312" s="57" t="inlineStr">
        <is>
          <t>ada bs</t>
        </is>
      </c>
      <c r="L312" s="2" t="inlineStr">
        <is>
          <t>bs</t>
        </is>
      </c>
      <c r="M312" s="3" t="n"/>
      <c r="N312" s="2" t="n">
        <v>20</v>
      </c>
      <c r="O312" s="5">
        <f>IF(N312="","",N312*1000)</f>
        <v/>
      </c>
      <c r="P312" s="23" t="n">
        <v>49.2</v>
      </c>
      <c r="Q312" s="7">
        <f>IF(P312="","",IF(AND(ROUND(MOD(P312,1),1)&gt;0,ROUND(MOD(P312,1),1)&lt;=0.3),INT(P312)-1,INT(P312)))</f>
        <v/>
      </c>
      <c r="R312" s="7">
        <f>IF(H311="","",IF(LOWER(A311)="gl",H311-2,IF(H311&gt;=60,H311-5,IF(AND(H311&gt;=50,H311&lt;60),H311-4,IF(AND(H311&gt;=10,H311&lt;50),H311-3,H311)))))</f>
        <v/>
      </c>
    </row>
    <row r="313" ht="15" customHeight="1">
      <c r="A313" s="10" t="inlineStr">
        <is>
          <t>gl</t>
        </is>
      </c>
      <c r="B313" s="2" t="n">
        <v>310</v>
      </c>
      <c r="C313" s="3" t="n"/>
      <c r="D313" s="18" t="inlineStr">
        <is>
          <t>(12/8/26)</t>
        </is>
      </c>
      <c r="E313" s="2" t="n">
        <v>50</v>
      </c>
      <c r="F313" s="5">
        <f>IF(E313="","",E313*1000)</f>
        <v/>
      </c>
      <c r="G313" s="23" t="n">
        <v>53.4</v>
      </c>
      <c r="H313" s="56">
        <f>IF(I313&lt;&gt;"",I313,IF(G313="","",IF(ROUND(MOD(G313,1),1)&lt;=0.4,INT(G313)-1,INT(G313))))</f>
        <v/>
      </c>
      <c r="I313" s="56" t="n"/>
      <c r="J313" s="57">
        <f>IF(H313="","",IF(LOWER(A313)="gl",H313-2,IF(H313&gt;=60,H313-5,IF(AND(H313&gt;=50,H313&lt;60),H313-4,IF(AND(H313&gt;=10,H313&lt;50),H313-3,H313)))))</f>
        <v/>
      </c>
      <c r="K313" s="57" t="inlineStr">
        <is>
          <t>ada bs</t>
        </is>
      </c>
      <c r="L313" s="2" t="inlineStr">
        <is>
          <t>bs</t>
        </is>
      </c>
      <c r="M313" s="3" t="n"/>
      <c r="N313" s="2" t="n">
        <v>25</v>
      </c>
      <c r="O313" s="5">
        <f>IF(N313="","",N313*1000)</f>
        <v/>
      </c>
      <c r="P313" s="23" t="n">
        <v>38.2</v>
      </c>
      <c r="Q313" s="7">
        <f>IF(P313="","",IF(AND(ROUND(MOD(P313,1),1)&gt;0,ROUND(MOD(P313,1),1)&lt;=0.3),INT(P313)-1,INT(P313)))</f>
        <v/>
      </c>
      <c r="R313" s="7">
        <f>IF(H311="","",IF(LOWER(A311)="gl",H311-2,IF(H311&gt;=60,H311-5,IF(AND(H311&gt;=50,H311&lt;60),H311-4,IF(AND(H311&gt;=10,H311&lt;50),H311-3,H311)))))</f>
        <v/>
      </c>
    </row>
    <row r="314" ht="15" customHeight="1">
      <c r="A314" s="10" t="inlineStr">
        <is>
          <t>gl</t>
        </is>
      </c>
      <c r="B314" s="2" t="n">
        <v>311</v>
      </c>
      <c r="C314" s="3" t="n"/>
      <c r="D314" s="3" t="n"/>
      <c r="E314" s="2" t="n">
        <v>40</v>
      </c>
      <c r="F314" s="5">
        <f>IF(E314="","",E314*1000)</f>
        <v/>
      </c>
      <c r="G314" s="23" t="n">
        <v>43.1</v>
      </c>
      <c r="H314" s="56">
        <f>IF(I314&lt;&gt;"",I314,IF(G314="","",IF(ROUND(MOD(G314,1),1)&lt;=0.4,INT(G314)-1,INT(G314))))</f>
        <v/>
      </c>
      <c r="I314" s="56" t="n"/>
      <c r="J314" s="57">
        <f>IF(H314="","",IF(LOWER(A314)="gl",H314-2,IF(H314&gt;=60,H314-5,IF(AND(H314&gt;=50,H314&lt;60),H314-4,IF(AND(H314&gt;=10,H314&lt;50),H314-3,H314)))))</f>
        <v/>
      </c>
      <c r="K314" s="57" t="inlineStr">
        <is>
          <t>ada bs</t>
        </is>
      </c>
      <c r="L314" s="2" t="inlineStr">
        <is>
          <t>bs</t>
        </is>
      </c>
      <c r="M314" s="3" t="n"/>
      <c r="N314" s="2" t="n">
        <v>25</v>
      </c>
      <c r="O314" s="5">
        <f>IF(N314="","",N314*1000)</f>
        <v/>
      </c>
      <c r="P314" s="23" t="n">
        <v>38.3</v>
      </c>
      <c r="Q314" s="7">
        <f>IF(P314="","",IF(AND(ROUND(MOD(P314,1),1)&gt;0,ROUND(MOD(P314,1),1)&lt;=0.3),INT(P314)-1,INT(P314)))</f>
        <v/>
      </c>
      <c r="R314" s="7">
        <f>IF(H311="","",IF(LOWER(A311)="gl",H311-2,IF(H311&gt;=60,H311-5,IF(AND(H311&gt;=50,H311&lt;60),H311-4,IF(AND(H311&gt;=10,H311&lt;50),H311-3,H311)))))</f>
        <v/>
      </c>
    </row>
    <row r="315" ht="15" customHeight="1">
      <c r="A315" s="10" t="inlineStr">
        <is>
          <t>gl</t>
        </is>
      </c>
      <c r="B315" s="2" t="n">
        <v>312</v>
      </c>
      <c r="C315" s="3" t="n"/>
      <c r="D315" s="3" t="n"/>
      <c r="E315" s="2" t="n">
        <v>40</v>
      </c>
      <c r="F315" s="5">
        <f>IF(E315="","",E315*1000)</f>
        <v/>
      </c>
      <c r="G315" s="23" t="n">
        <v>39.6</v>
      </c>
      <c r="H315" s="56">
        <f>IF(I315&lt;&gt;"",I315,IF(G315="","",IF(ROUND(MOD(G315,1),1)&lt;=0.4,INT(G315)-1,INT(G315))))</f>
        <v/>
      </c>
      <c r="I315" s="56" t="n"/>
      <c r="J315" s="57">
        <f>IF(H315="","",IF(LOWER(A315)="gl",H315-2,IF(H315&gt;=60,H315-5,IF(AND(H315&gt;=50,H315&lt;60),H315-4,IF(AND(H315&gt;=10,H315&lt;50),H315-3,H315)))))</f>
        <v/>
      </c>
      <c r="K315" s="57" t="n"/>
    </row>
    <row r="316" ht="15" customHeight="1">
      <c r="A316" s="10" t="inlineStr">
        <is>
          <t>gl</t>
        </is>
      </c>
      <c r="B316" s="2" t="n">
        <v>313</v>
      </c>
      <c r="C316" s="3" t="n"/>
      <c r="D316" s="3" t="n"/>
      <c r="E316" s="2" t="n">
        <v>40</v>
      </c>
      <c r="F316" s="5">
        <f>IF(E316="","",E316*1000)</f>
        <v/>
      </c>
      <c r="G316" s="23" t="n">
        <v>33.3</v>
      </c>
      <c r="H316" s="56">
        <f>IF(I316&lt;&gt;"",I316,IF(G316="","",IF(ROUND(MOD(G316,1),1)&lt;=0.4,INT(G316)-1,INT(G316))))</f>
        <v/>
      </c>
      <c r="I316" s="56" t="n"/>
      <c r="J316" s="57">
        <f>IF(H316="","",IF(LOWER(A316)="gl",H316-2,IF(H316&gt;=60,H316-5,IF(AND(H316&gt;=50,H316&lt;60),H316-4,IF(AND(H316&gt;=10,H316&lt;50),H316-3,H316)))))</f>
        <v/>
      </c>
      <c r="K316" s="57" t="n"/>
    </row>
    <row r="317" ht="15" customHeight="1">
      <c r="A317" s="10" t="inlineStr">
        <is>
          <t>gl</t>
        </is>
      </c>
      <c r="B317" s="2" t="n">
        <v>314</v>
      </c>
      <c r="C317" s="3" t="n"/>
      <c r="D317" s="3" t="n"/>
      <c r="E317" s="2" t="n">
        <v>30</v>
      </c>
      <c r="F317" s="5">
        <f>IF(E317="","",E317*1000)</f>
        <v/>
      </c>
      <c r="G317" s="23" t="n">
        <v>35.1</v>
      </c>
      <c r="H317" s="56">
        <f>IF(I317&lt;&gt;"",I317,IF(G317="","",IF(ROUND(MOD(G317,1),1)&lt;=0.4,INT(G317)-1,INT(G317))))</f>
        <v/>
      </c>
      <c r="I317" s="56" t="n"/>
      <c r="J317" s="57">
        <f>IF(H317="","",IF(LOWER(A317)="gl",H317-2,IF(H317&gt;=60,H317-5,IF(AND(H317&gt;=50,H317&lt;60),H317-4,IF(AND(H317&gt;=10,H317&lt;50),H317-3,H317)))))</f>
        <v/>
      </c>
      <c r="K317" s="57" t="n"/>
    </row>
    <row r="318" ht="15" customHeight="1">
      <c r="A318" s="10" t="inlineStr">
        <is>
          <t>gl</t>
        </is>
      </c>
      <c r="B318" s="2" t="n">
        <v>315</v>
      </c>
      <c r="C318" s="3" t="n"/>
      <c r="D318" s="3" t="n"/>
      <c r="E318" s="2" t="n">
        <v>46</v>
      </c>
      <c r="F318" s="5">
        <f>IF(E318="","",E318*1000)</f>
        <v/>
      </c>
      <c r="G318" s="23" t="n">
        <v>36.4</v>
      </c>
      <c r="H318" s="56">
        <f>IF(I318&lt;&gt;"",I318,IF(G318="","",IF(ROUND(MOD(G318,1),1)&lt;=0.4,INT(G318)-1,INT(G318))))</f>
        <v/>
      </c>
      <c r="I318" s="56" t="n"/>
      <c r="J318" s="57">
        <f>IF(H318="","",IF(LOWER(A318)="gl",H318-2,IF(H318&gt;=60,H318-5,IF(AND(H318&gt;=50,H318&lt;60),H318-4,IF(AND(H318&gt;=10,H318&lt;50),H318-3,H318)))))</f>
        <v/>
      </c>
      <c r="K318" s="57" t="n"/>
    </row>
    <row r="319" ht="15" customHeight="1">
      <c r="A319" s="10" t="inlineStr">
        <is>
          <t>gl</t>
        </is>
      </c>
      <c r="B319" s="2" t="n">
        <v>316</v>
      </c>
      <c r="C319" s="3" t="n"/>
      <c r="D319" s="3" t="n"/>
      <c r="E319" s="2" t="n">
        <v>46</v>
      </c>
      <c r="F319" s="5">
        <f>IF(E319="","",E319*1000)</f>
        <v/>
      </c>
      <c r="G319" s="23" t="n">
        <v>38.2</v>
      </c>
      <c r="H319" s="56">
        <f>IF(I319&lt;&gt;"",I319,IF(G319="","",IF(ROUND(MOD(G319,1),1)&lt;=0.4,INT(G319)-1,INT(G319))))</f>
        <v/>
      </c>
      <c r="I319" s="56" t="n"/>
      <c r="J319" s="57">
        <f>IF(H319="","",IF(LOWER(A319)="gl",H319-2,IF(H319&gt;=60,H319-5,IF(AND(H319&gt;=50,H319&lt;60),H319-4,IF(AND(H319&gt;=10,H319&lt;50),H319-3,H319)))))</f>
        <v/>
      </c>
      <c r="K319" s="57" t="n"/>
    </row>
    <row r="320" ht="15" customHeight="1" thickBot="1">
      <c r="A320" s="35" t="n"/>
      <c r="B320" s="35" t="n">
        <v>317</v>
      </c>
      <c r="C320" s="36" t="n"/>
      <c r="D320" s="36" t="n"/>
      <c r="E320" s="35" t="n">
        <v>40</v>
      </c>
      <c r="F320" s="37">
        <f>IF(E320="","",E320*1000)</f>
        <v/>
      </c>
      <c r="G320" s="34" t="n">
        <v>62</v>
      </c>
      <c r="H320" s="56">
        <f>IF(I320&lt;&gt;"",I320,IF(G320="","",IF(ROUND(MOD(G320,1),1)&lt;=0.4,INT(G320)-1,INT(G320))))</f>
        <v/>
      </c>
      <c r="I320" s="56" t="n"/>
      <c r="J320" s="57">
        <f>IF(H320="","",IF(LOWER(A320)="gl",H320-2,IF(H320&gt;=60,H320-5,IF(AND(H320&gt;=50,H320&lt;60),H320-4,IF(AND(H320&gt;=10,H320&lt;50),H320-3,H320)))))</f>
        <v/>
      </c>
      <c r="K320" s="57" t="n"/>
    </row>
    <row r="321" ht="15" customHeight="1">
      <c r="A321" s="10" t="inlineStr">
        <is>
          <t>gl</t>
        </is>
      </c>
      <c r="B321" s="10" t="n">
        <v>318</v>
      </c>
      <c r="C321" s="11" t="n"/>
      <c r="D321" s="11" t="inlineStr">
        <is>
          <t>Amir</t>
        </is>
      </c>
      <c r="E321" s="10" t="n">
        <v>60</v>
      </c>
      <c r="F321" s="13">
        <f>IF(E321="","",E321*1000)</f>
        <v/>
      </c>
      <c r="G321" s="27" t="n">
        <v>51.7</v>
      </c>
      <c r="H321" s="56">
        <f>IF(I321&lt;&gt;"",I321,IF(G321="","",IF(ROUND(MOD(G321,1),1)&lt;=0.4,INT(G321)-1,INT(G321))))</f>
        <v/>
      </c>
      <c r="I321" s="56" t="n"/>
      <c r="J321" s="57">
        <f>IF(H321="","",IF(LOWER(A321)="gl",H321-2,IF(H321&gt;=60,H321-5,IF(AND(H321&gt;=50,H321&lt;60),H321-4,IF(AND(H321&gt;=10,H321&lt;50),H321-3,H321)))))</f>
        <v/>
      </c>
      <c r="K321" s="57" t="n"/>
    </row>
    <row r="322" ht="15" customHeight="1">
      <c r="A322" s="10" t="inlineStr">
        <is>
          <t>gl</t>
        </is>
      </c>
      <c r="B322" s="2" t="n">
        <v>319</v>
      </c>
      <c r="C322" s="3" t="n"/>
      <c r="D322" s="18" t="inlineStr">
        <is>
          <t>(12/8/26)</t>
        </is>
      </c>
      <c r="E322" s="2" t="n">
        <v>48</v>
      </c>
      <c r="F322" s="5">
        <f>IF(E322="","",E322*1000)</f>
        <v/>
      </c>
      <c r="G322" s="23" t="n">
        <v>28.5</v>
      </c>
      <c r="H322" s="56">
        <f>IF(I322&lt;&gt;"",I322,IF(G322="","",IF(ROUND(MOD(G322,1),1)&lt;=0.4,INT(G322)-1,INT(G322))))</f>
        <v/>
      </c>
      <c r="I322" s="56" t="n"/>
      <c r="J322" s="57">
        <f>IF(H322="","",IF(LOWER(A322)="gl",H322-2,IF(H322&gt;=60,H322-5,IF(AND(H322&gt;=50,H322&lt;60),H322-4,IF(AND(H322&gt;=10,H322&lt;50),H322-3,H322)))))</f>
        <v/>
      </c>
      <c r="K322" s="57" t="n"/>
    </row>
    <row r="323" ht="15" customHeight="1">
      <c r="A323" s="10" t="inlineStr">
        <is>
          <t>gl</t>
        </is>
      </c>
      <c r="B323" s="2" t="n">
        <v>320</v>
      </c>
      <c r="C323" s="3" t="n"/>
      <c r="D323" s="3" t="inlineStr">
        <is>
          <t>Ambender</t>
        </is>
      </c>
      <c r="E323" s="2" t="n">
        <v>48</v>
      </c>
      <c r="F323" s="5">
        <f>IF(E323="","",E323*1000)</f>
        <v/>
      </c>
      <c r="G323" s="23" t="n">
        <v>25.4</v>
      </c>
      <c r="H323" s="56">
        <f>IF(I323&lt;&gt;"",I323,IF(G323="","",IF(ROUND(MOD(G323,1),1)&lt;=0.4,INT(G323)-1,INT(G323))))</f>
        <v/>
      </c>
      <c r="I323" s="56" t="n"/>
      <c r="J323" s="57">
        <f>IF(H323="","",IF(LOWER(A323)="gl",H323-2,IF(H323&gt;=60,H323-5,IF(AND(H323&gt;=50,H323&lt;60),H323-4,IF(AND(H323&gt;=10,H323&lt;50),H323-3,H323)))))</f>
        <v/>
      </c>
      <c r="K323" s="57" t="n"/>
    </row>
    <row r="324" ht="15" customHeight="1">
      <c r="A324" s="10" t="n"/>
      <c r="B324" s="2" t="n">
        <v>321</v>
      </c>
      <c r="C324" s="3" t="n"/>
      <c r="D324" s="3" t="n"/>
      <c r="E324" s="2" t="n"/>
      <c r="F324" s="5">
        <f>IF(E324="","",E324*1000)</f>
        <v/>
      </c>
      <c r="G324" s="23" t="n"/>
      <c r="H324" s="56">
        <f>IF(I324&lt;&gt;"",I324,IF(G324="","",IF(ROUND(MOD(G324,1),1)&lt;=0.4,INT(G324)-1,INT(G324))))</f>
        <v/>
      </c>
      <c r="I324" s="56" t="n"/>
      <c r="J324" s="57">
        <f>IF(H324="","",IF(LOWER(A324)="gl",H324-2,IF(H324&gt;=60,H324-5,IF(AND(H324&gt;=50,H324&lt;60),H324-4,IF(AND(H324&gt;=10,H324&lt;50),H324-3,H324)))))</f>
        <v/>
      </c>
      <c r="K324" s="57" t="n"/>
    </row>
    <row r="325" ht="15" customHeight="1">
      <c r="A325" s="10" t="n"/>
      <c r="B325" s="2" t="n">
        <v>322</v>
      </c>
      <c r="C325" s="3" t="n"/>
      <c r="D325" s="3" t="n"/>
      <c r="E325" s="2" t="n"/>
      <c r="F325" s="5">
        <f>IF(E325="","",E325*1000)</f>
        <v/>
      </c>
      <c r="G325" s="23" t="n"/>
      <c r="H325" s="56">
        <f>IF(I325&lt;&gt;"",I325,IF(G325="","",IF(ROUND(MOD(G325,1),1)&lt;=0.4,INT(G325)-1,INT(G325))))</f>
        <v/>
      </c>
      <c r="I325" s="56" t="n"/>
      <c r="J325" s="57">
        <f>IF(H325="","",IF(LOWER(A325)="gl",H325-2,IF(H325&gt;=60,H325-5,IF(AND(H325&gt;=50,H325&lt;60),H325-4,IF(AND(H325&gt;=10,H325&lt;50),H325-3,H325)))))</f>
        <v/>
      </c>
      <c r="K325" s="57" t="n"/>
    </row>
    <row r="326" ht="15" customHeight="1">
      <c r="A326" s="10" t="n"/>
      <c r="B326" s="2" t="n">
        <v>323</v>
      </c>
      <c r="C326" s="3" t="n"/>
      <c r="D326" s="3" t="n"/>
      <c r="E326" s="2" t="n"/>
      <c r="F326" s="5">
        <f>IF(E326="","",E326*1000)</f>
        <v/>
      </c>
      <c r="G326" s="23" t="n"/>
      <c r="H326" s="56">
        <f>IF(I326&lt;&gt;"",I326,IF(G326="","",IF(ROUND(MOD(G326,1),1)&lt;=0.4,INT(G326)-1,INT(G326))))</f>
        <v/>
      </c>
      <c r="I326" s="56" t="n"/>
      <c r="J326" s="57">
        <f>IF(H326="","",IF(LOWER(A326)="gl",H326-2,IF(H326&gt;=60,H326-5,IF(AND(H326&gt;=50,H326&lt;60),H326-4,IF(AND(H326&gt;=10,H326&lt;50),H326-3,H326)))))</f>
        <v/>
      </c>
      <c r="K326" s="57" t="n"/>
    </row>
    <row r="327" ht="15" customHeight="1">
      <c r="A327" s="10" t="n"/>
      <c r="B327" s="2" t="n">
        <v>324</v>
      </c>
      <c r="C327" s="3" t="n"/>
      <c r="D327" s="3" t="n"/>
      <c r="E327" s="2" t="n"/>
      <c r="F327" s="5">
        <f>IF(E327="","",E327*1000)</f>
        <v/>
      </c>
      <c r="G327" s="23" t="n"/>
      <c r="H327" s="56">
        <f>IF(I327&lt;&gt;"",I327,IF(G327="","",IF(ROUND(MOD(G327,1),1)&lt;=0.4,INT(G327)-1,INT(G327))))</f>
        <v/>
      </c>
      <c r="I327" s="56" t="n"/>
      <c r="J327" s="57">
        <f>IF(H327="","",IF(LOWER(A327)="gl",H327-2,IF(H327&gt;=60,H327-5,IF(AND(H327&gt;=50,H327&lt;60),H327-4,IF(AND(H327&gt;=10,H327&lt;50),H327-3,H327)))))</f>
        <v/>
      </c>
      <c r="K327" s="57" t="n"/>
    </row>
    <row r="328" ht="15" customHeight="1">
      <c r="A328" s="10" t="n"/>
      <c r="B328" s="2" t="n">
        <v>325</v>
      </c>
      <c r="C328" s="3" t="n"/>
      <c r="D328" s="3" t="n"/>
      <c r="E328" s="2" t="n"/>
      <c r="F328" s="5">
        <f>IF(E328="","",E328*1000)</f>
        <v/>
      </c>
      <c r="G328" s="23" t="n"/>
      <c r="H328" s="56">
        <f>IF(I328&lt;&gt;"",I328,IF(G328="","",IF(ROUND(MOD(G328,1),1)&lt;=0.4,INT(G328)-1,INT(G328))))</f>
        <v/>
      </c>
      <c r="I328" s="56" t="n"/>
      <c r="J328" s="57">
        <f>IF(H328="","",IF(LOWER(A328)="gl",H328-2,IF(H328&gt;=60,H328-5,IF(AND(H328&gt;=50,H328&lt;60),H328-4,IF(AND(H328&gt;=10,H328&lt;50),H328-3,H328)))))</f>
        <v/>
      </c>
      <c r="K328" s="57" t="n"/>
    </row>
    <row r="329" ht="15" customHeight="1">
      <c r="A329" s="10" t="n"/>
      <c r="B329" s="2" t="n">
        <v>326</v>
      </c>
      <c r="C329" s="3" t="n"/>
      <c r="D329" s="3" t="n"/>
      <c r="E329" s="2" t="n"/>
      <c r="F329" s="5">
        <f>IF(E329="","",E329*1000)</f>
        <v/>
      </c>
      <c r="G329" s="23" t="n"/>
      <c r="H329" s="56">
        <f>IF(I329&lt;&gt;"",I329,IF(G329="","",IF(ROUND(MOD(G329,1),1)&lt;=0.4,INT(G329)-1,INT(G329))))</f>
        <v/>
      </c>
      <c r="I329" s="56" t="n"/>
      <c r="J329" s="57">
        <f>IF(H329="","",IF(LOWER(A329)="gl",H329-2,IF(H329&gt;=60,H329-5,IF(AND(H329&gt;=50,H329&lt;60),H329-4,IF(AND(H329&gt;=10,H329&lt;50),H329-3,H329)))))</f>
        <v/>
      </c>
      <c r="K329" s="57" t="n"/>
    </row>
    <row r="330" ht="15" customHeight="1">
      <c r="A330" s="10" t="n"/>
      <c r="B330" s="2" t="n">
        <v>327</v>
      </c>
      <c r="C330" s="3" t="n"/>
      <c r="D330" s="3" t="n"/>
      <c r="E330" s="2" t="n"/>
      <c r="F330" s="5">
        <f>IF(E330="","",E330*1000)</f>
        <v/>
      </c>
      <c r="G330" s="23" t="n"/>
      <c r="H330" s="56">
        <f>IF(I330&lt;&gt;"",I330,IF(G330="","",IF(ROUND(MOD(G330,1),1)&lt;=0.4,INT(G330)-1,INT(G330))))</f>
        <v/>
      </c>
      <c r="I330" s="56" t="n"/>
      <c r="J330" s="57">
        <f>IF(H330="","",IF(LOWER(A330)="gl",H330-2,IF(H330&gt;=60,H330-5,IF(AND(H330&gt;=50,H330&lt;60),H330-4,IF(AND(H330&gt;=10,H330&lt;50),H330-3,H330)))))</f>
        <v/>
      </c>
      <c r="K330" s="57" t="n"/>
    </row>
    <row r="331" ht="15" customHeight="1">
      <c r="A331" s="10" t="n"/>
      <c r="B331" s="2" t="n">
        <v>328</v>
      </c>
      <c r="C331" s="3" t="n"/>
      <c r="D331" s="3" t="n"/>
      <c r="E331" s="2" t="n"/>
      <c r="F331" s="5">
        <f>IF(E331="","",E331*1000)</f>
        <v/>
      </c>
      <c r="G331" s="23" t="n"/>
      <c r="H331" s="56">
        <f>IF(I331&lt;&gt;"",I331,IF(G331="","",IF(ROUND(MOD(G331,1),1)&lt;=0.4,INT(G331)-1,INT(G331))))</f>
        <v/>
      </c>
      <c r="I331" s="56" t="n"/>
      <c r="J331" s="57">
        <f>IF(H331="","",IF(LOWER(A331)="gl",H331-2,IF(H331&gt;=60,H331-5,IF(AND(H331&gt;=50,H331&lt;60),H331-4,IF(AND(H331&gt;=10,H331&lt;50),H331-3,H331)))))</f>
        <v/>
      </c>
      <c r="K331" s="57" t="n"/>
    </row>
    <row r="332" ht="15" customHeight="1">
      <c r="A332" s="10" t="n"/>
      <c r="B332" s="2" t="n">
        <v>329</v>
      </c>
      <c r="C332" s="3" t="n"/>
      <c r="D332" s="3" t="n"/>
      <c r="E332" s="2" t="n"/>
      <c r="F332" s="5">
        <f>IF(E332="","",E332*1000)</f>
        <v/>
      </c>
      <c r="G332" s="23" t="n"/>
      <c r="H332" s="56">
        <f>IF(I332&lt;&gt;"",I332,IF(G332="","",IF(ROUND(MOD(G332,1),1)&lt;=0.4,INT(G332)-1,INT(G332))))</f>
        <v/>
      </c>
      <c r="I332" s="56" t="n"/>
      <c r="J332" s="57">
        <f>IF(H332="","",IF(LOWER(A332)="gl",H332-2,IF(H332&gt;=60,H332-5,IF(AND(H332&gt;=50,H332&lt;60),H332-4,IF(AND(H332&gt;=10,H332&lt;50),H332-3,H332)))))</f>
        <v/>
      </c>
      <c r="K332" s="57" t="n"/>
    </row>
    <row r="333" ht="15" customHeight="1">
      <c r="A333" s="10" t="n"/>
      <c r="B333" s="2" t="n">
        <v>330</v>
      </c>
      <c r="C333" s="3" t="n"/>
      <c r="D333" s="3" t="n"/>
      <c r="E333" s="2" t="n"/>
      <c r="F333" s="5">
        <f>IF(E333="","",E333*1000)</f>
        <v/>
      </c>
      <c r="G333" s="23" t="n"/>
      <c r="H333" s="56">
        <f>IF(I333&lt;&gt;"",I333,IF(G333="","",IF(ROUND(MOD(G333,1),1)&lt;=0.4,INT(G333)-1,INT(G333))))</f>
        <v/>
      </c>
      <c r="I333" s="56" t="n"/>
      <c r="J333" s="57">
        <f>IF(H333="","",IF(LOWER(A333)="gl",H333-2,IF(H333&gt;=60,H333-5,IF(AND(H333&gt;=50,H333&lt;60),H333-4,IF(AND(H333&gt;=10,H333&lt;50),H333-3,H333)))))</f>
        <v/>
      </c>
      <c r="K333" s="57" t="n"/>
    </row>
    <row r="334" ht="15" customHeight="1">
      <c r="A334" s="10" t="n"/>
      <c r="B334" s="2" t="n">
        <v>331</v>
      </c>
      <c r="C334" s="3" t="n"/>
      <c r="D334" s="3" t="n"/>
      <c r="E334" s="2" t="n"/>
      <c r="F334" s="5">
        <f>IF(E334="","",E334*1000)</f>
        <v/>
      </c>
      <c r="G334" s="23" t="n"/>
      <c r="H334" s="56">
        <f>IF(I334&lt;&gt;"",I334,IF(G334="","",IF(ROUND(MOD(G334,1),1)&lt;=0.4,INT(G334)-1,INT(G334))))</f>
        <v/>
      </c>
      <c r="I334" s="56" t="n"/>
      <c r="J334" s="57">
        <f>IF(H334="","",IF(LOWER(A334)="gl",H334-2,IF(H334&gt;=60,H334-5,IF(AND(H334&gt;=50,H334&lt;60),H334-4,IF(AND(H334&gt;=10,H334&lt;50),H334-3,H334)))))</f>
        <v/>
      </c>
      <c r="K334" s="57" t="n"/>
    </row>
    <row r="335" ht="15" customHeight="1">
      <c r="A335" s="10" t="n"/>
      <c r="B335" s="2" t="n">
        <v>332</v>
      </c>
      <c r="C335" s="3" t="n"/>
      <c r="D335" s="3" t="n"/>
      <c r="E335" s="2" t="n"/>
      <c r="F335" s="5">
        <f>IF(E335="","",E335*1000)</f>
        <v/>
      </c>
      <c r="G335" s="23" t="n"/>
      <c r="H335" s="56">
        <f>IF(I335&lt;&gt;"",I335,IF(G335="","",IF(ROUND(MOD(G335,1),1)&lt;=0.4,INT(G335)-1,INT(G335))))</f>
        <v/>
      </c>
      <c r="I335" s="56" t="n"/>
      <c r="J335" s="57">
        <f>IF(H335="","",IF(LOWER(A335)="gl",H335-2,IF(H335&gt;=60,H335-5,IF(AND(H335&gt;=50,H335&lt;60),H335-4,IF(AND(H335&gt;=10,H335&lt;50),H335-3,H335)))))</f>
        <v/>
      </c>
      <c r="K335" s="57" t="n"/>
    </row>
    <row r="336" ht="15" customHeight="1">
      <c r="A336" s="10" t="n"/>
      <c r="B336" s="2" t="n">
        <v>333</v>
      </c>
      <c r="C336" s="3" t="n"/>
      <c r="D336" s="3" t="n"/>
      <c r="E336" s="2" t="n"/>
      <c r="F336" s="5">
        <f>IF(E336="","",E336*1000)</f>
        <v/>
      </c>
      <c r="G336" s="23" t="n"/>
      <c r="H336" s="56">
        <f>IF(I336&lt;&gt;"",I336,IF(G336="","",IF(ROUND(MOD(G336,1),1)&lt;=0.4,INT(G336)-1,INT(G336))))</f>
        <v/>
      </c>
      <c r="I336" s="56" t="n"/>
      <c r="J336" s="57">
        <f>IF(H336="","",IF(LOWER(A336)="gl",H336-2,IF(H336&gt;=60,H336-5,IF(AND(H336&gt;=50,H336&lt;60),H336-4,IF(AND(H336&gt;=10,H336&lt;50),H336-3,H336)))))</f>
        <v/>
      </c>
      <c r="K336" s="57" t="n"/>
    </row>
    <row r="337" ht="15" customHeight="1">
      <c r="A337" s="10" t="n"/>
      <c r="B337" s="2" t="n">
        <v>334</v>
      </c>
      <c r="C337" s="3" t="n"/>
      <c r="D337" s="3" t="n"/>
      <c r="E337" s="2" t="n"/>
      <c r="F337" s="5">
        <f>IF(E337="","",E337*1000)</f>
        <v/>
      </c>
      <c r="G337" s="23" t="n"/>
      <c r="H337" s="56">
        <f>IF(I337&lt;&gt;"",I337,IF(G337="","",IF(ROUND(MOD(G337,1),1)&lt;=0.4,INT(G337)-1,INT(G337))))</f>
        <v/>
      </c>
      <c r="I337" s="56" t="n"/>
      <c r="J337" s="57">
        <f>IF(H337="","",IF(LOWER(A337)="gl",H337-2,IF(H337&gt;=60,H337-5,IF(AND(H337&gt;=50,H337&lt;60),H337-4,IF(AND(H337&gt;=10,H337&lt;50),H337-3,H337)))))</f>
        <v/>
      </c>
      <c r="K337" s="57" t="n"/>
    </row>
    <row r="338" ht="15" customHeight="1">
      <c r="A338" s="10" t="n"/>
      <c r="B338" s="2" t="n">
        <v>335</v>
      </c>
      <c r="C338" s="3" t="n"/>
      <c r="D338" s="3" t="n"/>
      <c r="E338" s="2" t="n"/>
      <c r="F338" s="5">
        <f>IF(E338="","",E338*1000)</f>
        <v/>
      </c>
      <c r="G338" s="23" t="n"/>
      <c r="H338" s="56">
        <f>IF(I338&lt;&gt;"",I338,IF(G338="","",IF(ROUND(MOD(G338,1),1)&lt;=0.4,INT(G338)-1,INT(G338))))</f>
        <v/>
      </c>
      <c r="I338" s="56" t="n"/>
      <c r="J338" s="57">
        <f>IF(H338="","",IF(LOWER(A338)="gl",H338-2,IF(H338&gt;=60,H338-5,IF(AND(H338&gt;=50,H338&lt;60),H338-4,IF(AND(H338&gt;=10,H338&lt;50),H338-3,H338)))))</f>
        <v/>
      </c>
      <c r="K338" s="57" t="n"/>
    </row>
    <row r="339" ht="15" customHeight="1">
      <c r="A339" s="10" t="n"/>
      <c r="B339" s="2" t="n">
        <v>336</v>
      </c>
      <c r="C339" s="3" t="n"/>
      <c r="D339" s="3" t="n"/>
      <c r="E339" s="2" t="n"/>
      <c r="F339" s="5">
        <f>IF(E339="","",E339*1000)</f>
        <v/>
      </c>
      <c r="G339" s="23" t="n"/>
      <c r="H339" s="56">
        <f>IF(I339&lt;&gt;"",I339,IF(G339="","",IF(ROUND(MOD(G339,1),1)&lt;=0.4,INT(G339)-1,INT(G339))))</f>
        <v/>
      </c>
      <c r="I339" s="56" t="n"/>
      <c r="J339" s="57">
        <f>IF(H339="","",IF(LOWER(A339)="gl",H339-2,IF(H339&gt;=60,H339-5,IF(AND(H339&gt;=50,H339&lt;60),H339-4,IF(AND(H339&gt;=10,H339&lt;50),H339-3,H339)))))</f>
        <v/>
      </c>
      <c r="K339" s="57" t="n"/>
    </row>
    <row r="340" ht="15" customHeight="1">
      <c r="A340" s="10" t="n"/>
      <c r="B340" s="2" t="n">
        <v>337</v>
      </c>
      <c r="C340" s="3" t="n"/>
      <c r="D340" s="3" t="n"/>
      <c r="E340" s="2" t="n"/>
      <c r="F340" s="5">
        <f>IF(E340="","",E340*1000)</f>
        <v/>
      </c>
      <c r="G340" s="23" t="n"/>
      <c r="H340" s="56">
        <f>IF(I340&lt;&gt;"",I340,IF(G340="","",IF(ROUND(MOD(G340,1),1)&lt;=0.4,INT(G340)-1,INT(G340))))</f>
        <v/>
      </c>
      <c r="I340" s="56" t="n"/>
      <c r="J340" s="57">
        <f>IF(H340="","",IF(LOWER(A340)="gl",H340-2,IF(H340&gt;=60,H340-5,IF(AND(H340&gt;=50,H340&lt;60),H340-4,IF(AND(H340&gt;=10,H340&lt;50),H340-3,H340)))))</f>
        <v/>
      </c>
      <c r="K340" s="57" t="n"/>
    </row>
    <row r="341" ht="15" customHeight="1">
      <c r="A341" s="10" t="n"/>
      <c r="B341" s="2" t="n">
        <v>338</v>
      </c>
      <c r="C341" s="3" t="n"/>
      <c r="D341" s="3" t="n"/>
      <c r="E341" s="2" t="n"/>
      <c r="F341" s="5">
        <f>IF(E341="","",E341*1000)</f>
        <v/>
      </c>
      <c r="G341" s="23" t="n"/>
      <c r="H341" s="56">
        <f>IF(I341&lt;&gt;"",I341,IF(G341="","",IF(ROUND(MOD(G341,1),1)&lt;=0.4,INT(G341)-1,INT(G341))))</f>
        <v/>
      </c>
      <c r="I341" s="56" t="n"/>
      <c r="J341" s="57">
        <f>IF(H341="","",IF(LOWER(A341)="gl",H341-2,IF(H341&gt;=60,H341-5,IF(AND(H341&gt;=50,H341&lt;60),H341-4,IF(AND(H341&gt;=10,H341&lt;50),H341-3,H341)))))</f>
        <v/>
      </c>
      <c r="K341" s="57" t="n"/>
    </row>
    <row r="342" ht="15" customHeight="1">
      <c r="A342" s="10" t="n"/>
      <c r="B342" s="2" t="n">
        <v>339</v>
      </c>
      <c r="C342" s="3" t="n"/>
      <c r="D342" s="3" t="n"/>
      <c r="E342" s="2" t="n"/>
      <c r="F342" s="5">
        <f>IF(E342="","",E342*1000)</f>
        <v/>
      </c>
      <c r="G342" s="23" t="n"/>
      <c r="H342" s="56">
        <f>IF(I342&lt;&gt;"",I342,IF(G342="","",IF(ROUND(MOD(G342,1),1)&lt;=0.4,INT(G342)-1,INT(G342))))</f>
        <v/>
      </c>
      <c r="I342" s="56" t="n"/>
      <c r="J342" s="57">
        <f>IF(H342="","",IF(LOWER(A342)="gl",H342-2,IF(H342&gt;=60,H342-5,IF(AND(H342&gt;=50,H342&lt;60),H342-4,IF(AND(H342&gt;=10,H342&lt;50),H342-3,H342)))))</f>
        <v/>
      </c>
      <c r="K342" s="57" t="n"/>
    </row>
    <row r="343" ht="15" customHeight="1">
      <c r="A343" s="10" t="n"/>
      <c r="B343" s="2" t="n">
        <v>340</v>
      </c>
      <c r="C343" s="3" t="n"/>
      <c r="D343" s="3" t="n"/>
      <c r="E343" s="2" t="n"/>
      <c r="F343" s="5">
        <f>IF(E343="","",E343*1000)</f>
        <v/>
      </c>
      <c r="G343" s="23" t="n"/>
      <c r="H343" s="56">
        <f>IF(I343&lt;&gt;"",I343,IF(G343="","",IF(ROUND(MOD(G343,1),1)&lt;=0.4,INT(G343)-1,INT(G343))))</f>
        <v/>
      </c>
      <c r="I343" s="56" t="n"/>
      <c r="J343" s="57">
        <f>IF(H343="","",IF(LOWER(A343)="gl",H343-2,IF(H343&gt;=60,H343-5,IF(AND(H343&gt;=50,H343&lt;60),H343-4,IF(AND(H343&gt;=10,H343&lt;50),H343-3,H343)))))</f>
        <v/>
      </c>
      <c r="K343" s="57" t="n"/>
    </row>
    <row r="344" ht="15" customHeight="1">
      <c r="A344" s="10" t="n"/>
      <c r="B344" s="2" t="n">
        <v>341</v>
      </c>
      <c r="C344" s="3" t="n"/>
      <c r="D344" s="3" t="n"/>
      <c r="E344" s="2" t="n"/>
      <c r="F344" s="5">
        <f>IF(E344="","",E344*1000)</f>
        <v/>
      </c>
      <c r="G344" s="23" t="n"/>
      <c r="H344" s="56">
        <f>IF(I344&lt;&gt;"",I344,IF(G344="","",IF(ROUND(MOD(G344,1),1)&lt;=0.4,INT(G344)-1,INT(G344))))</f>
        <v/>
      </c>
      <c r="I344" s="56" t="n"/>
      <c r="J344" s="57">
        <f>IF(H344="","",IF(LOWER(A344)="gl",H344-2,IF(H344&gt;=60,H344-5,IF(AND(H344&gt;=50,H344&lt;60),H344-4,IF(AND(H344&gt;=10,H344&lt;50),H344-3,H344)))))</f>
        <v/>
      </c>
      <c r="K344" s="57" t="n"/>
    </row>
    <row r="345" ht="15" customHeight="1">
      <c r="A345" s="10" t="n"/>
      <c r="B345" s="2" t="n">
        <v>342</v>
      </c>
      <c r="C345" s="3" t="n"/>
      <c r="D345" s="3" t="n"/>
      <c r="E345" s="2" t="n"/>
      <c r="F345" s="5">
        <f>IF(E345="","",E345*1000)</f>
        <v/>
      </c>
      <c r="G345" s="23" t="n"/>
      <c r="H345" s="56">
        <f>IF(I345&lt;&gt;"",I345,IF(G345="","",IF(ROUND(MOD(G345,1),1)&lt;=0.4,INT(G345)-1,INT(G345))))</f>
        <v/>
      </c>
      <c r="I345" s="56" t="n"/>
      <c r="J345" s="57">
        <f>IF(H345="","",IF(LOWER(A345)="gl",H345-2,IF(H345&gt;=60,H345-5,IF(AND(H345&gt;=50,H345&lt;60),H345-4,IF(AND(H345&gt;=10,H345&lt;50),H345-3,H345)))))</f>
        <v/>
      </c>
      <c r="K345" s="57" t="n"/>
    </row>
    <row r="346" ht="15" customHeight="1">
      <c r="A346" s="10" t="n"/>
      <c r="B346" s="2" t="n">
        <v>343</v>
      </c>
      <c r="C346" s="3" t="n"/>
      <c r="D346" s="3" t="n"/>
      <c r="E346" s="2" t="n"/>
      <c r="F346" s="5">
        <f>IF(E346="","",E346*1000)</f>
        <v/>
      </c>
      <c r="G346" s="23" t="n"/>
      <c r="H346" s="56">
        <f>IF(I346&lt;&gt;"",I346,IF(G346="","",IF(ROUND(MOD(G346,1),1)&lt;=0.4,INT(G346)-1,INT(G346))))</f>
        <v/>
      </c>
      <c r="I346" s="56" t="n"/>
      <c r="J346" s="57">
        <f>IF(H346="","",IF(LOWER(A346)="gl",H346-2,IF(H346&gt;=60,H346-5,IF(AND(H346&gt;=50,H346&lt;60),H346-4,IF(AND(H346&gt;=10,H346&lt;50),H346-3,H346)))))</f>
        <v/>
      </c>
      <c r="K346" s="57" t="n"/>
    </row>
    <row r="347" ht="15" customHeight="1">
      <c r="A347" s="10" t="n"/>
      <c r="B347" s="2" t="n">
        <v>344</v>
      </c>
      <c r="C347" s="3" t="n"/>
      <c r="D347" s="3" t="n"/>
      <c r="E347" s="2" t="n"/>
      <c r="F347" s="5">
        <f>IF(E347="","",E347*1000)</f>
        <v/>
      </c>
      <c r="G347" s="23" t="n"/>
      <c r="H347" s="56">
        <f>IF(I347&lt;&gt;"",I347,IF(G347="","",IF(ROUND(MOD(G347,1),1)&lt;=0.4,INT(G347)-1,INT(G347))))</f>
        <v/>
      </c>
      <c r="I347" s="56" t="n"/>
      <c r="J347" s="57">
        <f>IF(H347="","",IF(LOWER(A347)="gl",H347-2,IF(H347&gt;=60,H347-5,IF(AND(H347&gt;=50,H347&lt;60),H347-4,IF(AND(H347&gt;=10,H347&lt;50),H347-3,H347)))))</f>
        <v/>
      </c>
      <c r="K347" s="57" t="n"/>
    </row>
    <row r="348" ht="15" customHeight="1">
      <c r="A348" s="10" t="n"/>
      <c r="B348" s="2" t="n">
        <v>345</v>
      </c>
      <c r="C348" s="3" t="n"/>
      <c r="D348" s="3" t="n"/>
      <c r="E348" s="2" t="n"/>
      <c r="F348" s="5">
        <f>IF(E348="","",E348*1000)</f>
        <v/>
      </c>
      <c r="G348" s="23" t="n"/>
      <c r="H348" s="56">
        <f>IF(I348&lt;&gt;"",I348,IF(G348="","",IF(ROUND(MOD(G348,1),1)&lt;=0.4,INT(G348)-1,INT(G348))))</f>
        <v/>
      </c>
      <c r="I348" s="56" t="n"/>
      <c r="J348" s="57">
        <f>IF(H348="","",IF(LOWER(A348)="gl",H348-2,IF(H348&gt;=60,H348-5,IF(AND(H348&gt;=50,H348&lt;60),H348-4,IF(AND(H348&gt;=10,H348&lt;50),H348-3,H348)))))</f>
        <v/>
      </c>
      <c r="K348" s="57" t="n"/>
    </row>
    <row r="349" ht="15" customHeight="1">
      <c r="A349" s="10" t="n"/>
      <c r="B349" s="2" t="n">
        <v>346</v>
      </c>
      <c r="C349" s="3" t="n"/>
      <c r="D349" s="3" t="n"/>
      <c r="E349" s="2" t="n"/>
      <c r="F349" s="5">
        <f>IF(E349="","",E349*1000)</f>
        <v/>
      </c>
      <c r="G349" s="23" t="n"/>
      <c r="H349" s="56">
        <f>IF(I349&lt;&gt;"",I349,IF(G349="","",IF(ROUND(MOD(G349,1),1)&lt;=0.4,INT(G349)-1,INT(G349))))</f>
        <v/>
      </c>
      <c r="I349" s="56" t="n"/>
      <c r="J349" s="57">
        <f>IF(H349="","",IF(LOWER(A349)="gl",H349-2,IF(H349&gt;=60,H349-5,IF(AND(H349&gt;=50,H349&lt;60),H349-4,IF(AND(H349&gt;=10,H349&lt;50),H349-3,H349)))))</f>
        <v/>
      </c>
      <c r="K349" s="57" t="n"/>
    </row>
    <row r="350" ht="15" customHeight="1">
      <c r="A350" s="10" t="n"/>
      <c r="B350" s="2" t="n">
        <v>347</v>
      </c>
      <c r="C350" s="3" t="n"/>
      <c r="D350" s="3" t="n"/>
      <c r="E350" s="2" t="n"/>
      <c r="F350" s="5">
        <f>IF(E350="","",E350*1000)</f>
        <v/>
      </c>
      <c r="G350" s="23" t="n"/>
      <c r="H350" s="56">
        <f>IF(I350&lt;&gt;"",I350,IF(G350="","",IF(ROUND(MOD(G350,1),1)&lt;=0.4,INT(G350)-1,INT(G350))))</f>
        <v/>
      </c>
      <c r="I350" s="56" t="n"/>
      <c r="J350" s="57">
        <f>IF(H350="","",IF(LOWER(A350)="gl",H350-2,IF(H350&gt;=60,H350-5,IF(AND(H350&gt;=50,H350&lt;60),H350-4,IF(AND(H350&gt;=10,H350&lt;50),H350-3,H350)))))</f>
        <v/>
      </c>
      <c r="K350" s="57" t="n"/>
    </row>
    <row r="351" ht="15" customHeight="1">
      <c r="A351" s="10" t="n"/>
      <c r="B351" s="2" t="n">
        <v>348</v>
      </c>
      <c r="C351" s="3" t="n"/>
      <c r="D351" s="3" t="n"/>
      <c r="E351" s="2" t="n"/>
      <c r="F351" s="5">
        <f>IF(E351="","",E351*1000)</f>
        <v/>
      </c>
      <c r="G351" s="23" t="n"/>
      <c r="H351" s="56">
        <f>IF(I351&lt;&gt;"",I351,IF(G351="","",IF(ROUND(MOD(G351,1),1)&lt;=0.4,INT(G351)-1,INT(G351))))</f>
        <v/>
      </c>
      <c r="I351" s="56" t="n"/>
      <c r="J351" s="57">
        <f>IF(H351="","",IF(LOWER(A351)="gl",H351-2,IF(H351&gt;=60,H351-5,IF(AND(H351&gt;=50,H351&lt;60),H351-4,IF(AND(H351&gt;=10,H351&lt;50),H351-3,H351)))))</f>
        <v/>
      </c>
      <c r="K351" s="57" t="n"/>
    </row>
    <row r="352" ht="15" customHeight="1">
      <c r="A352" s="10" t="n"/>
      <c r="B352" s="2" t="n">
        <v>349</v>
      </c>
      <c r="C352" s="3" t="n"/>
      <c r="D352" s="3" t="n"/>
      <c r="E352" s="2" t="n"/>
      <c r="F352" s="5">
        <f>IF(E352="","",E352*1000)</f>
        <v/>
      </c>
      <c r="G352" s="23" t="n"/>
      <c r="H352" s="56">
        <f>IF(I352&lt;&gt;"",I352,IF(G352="","",IF(ROUND(MOD(G352,1),1)&lt;=0.4,INT(G352)-1,INT(G352))))</f>
        <v/>
      </c>
      <c r="I352" s="56" t="n"/>
      <c r="J352" s="57">
        <f>IF(H352="","",IF(LOWER(A352)="gl",H352-2,IF(H352&gt;=60,H352-5,IF(AND(H352&gt;=50,H352&lt;60),H352-4,IF(AND(H352&gt;=10,H352&lt;50),H352-3,H352)))))</f>
        <v/>
      </c>
      <c r="K352" s="57" t="n"/>
    </row>
    <row r="353" ht="15" customHeight="1">
      <c r="A353" s="10" t="n"/>
      <c r="B353" s="2" t="n">
        <v>350</v>
      </c>
      <c r="C353" s="3" t="n"/>
      <c r="D353" s="3" t="n"/>
      <c r="E353" s="2" t="n"/>
      <c r="F353" s="5">
        <f>IF(E353="","",E353*1000)</f>
        <v/>
      </c>
      <c r="G353" s="23" t="n"/>
      <c r="H353" s="56">
        <f>IF(I353&lt;&gt;"",I353,IF(G353="","",IF(ROUND(MOD(G353,1),1)&lt;=0.4,INT(G353)-1,INT(G353))))</f>
        <v/>
      </c>
      <c r="I353" s="56" t="n"/>
      <c r="J353" s="57">
        <f>IF(H353="","",IF(LOWER(A353)="gl",H353-2,IF(H353&gt;=60,H353-5,IF(AND(H353&gt;=50,H353&lt;60),H353-4,IF(AND(H353&gt;=10,H353&lt;50),H353-3,H353)))))</f>
        <v/>
      </c>
      <c r="K353" s="57" t="n"/>
    </row>
    <row r="354" ht="15" customHeight="1">
      <c r="A354" s="10" t="n"/>
      <c r="B354" s="2" t="n">
        <v>351</v>
      </c>
      <c r="C354" s="3" t="n"/>
      <c r="D354" s="3" t="n"/>
      <c r="E354" s="2" t="n"/>
      <c r="F354" s="5">
        <f>IF(E354="","",E354*1000)</f>
        <v/>
      </c>
      <c r="G354" s="23" t="n"/>
      <c r="H354" s="56">
        <f>IF(I354&lt;&gt;"",I354,IF(G354="","",IF(ROUND(MOD(G354,1),1)&lt;=0.4,INT(G354)-1,INT(G354))))</f>
        <v/>
      </c>
      <c r="I354" s="56" t="n"/>
      <c r="J354" s="57">
        <f>IF(H354="","",IF(LOWER(A354)="gl",H354-2,IF(H354&gt;=60,H354-5,IF(AND(H354&gt;=50,H354&lt;60),H354-4,IF(AND(H354&gt;=10,H354&lt;50),H354-3,H354)))))</f>
        <v/>
      </c>
      <c r="K354" s="57" t="n"/>
    </row>
    <row r="355" ht="15" customHeight="1">
      <c r="A355" s="10" t="n"/>
      <c r="B355" s="2" t="n">
        <v>352</v>
      </c>
      <c r="C355" s="3" t="n"/>
      <c r="D355" s="3" t="n"/>
      <c r="E355" s="2" t="n"/>
      <c r="F355" s="5">
        <f>IF(E355="","",E355*1000)</f>
        <v/>
      </c>
      <c r="G355" s="23" t="n"/>
      <c r="H355" s="56">
        <f>IF(I355&lt;&gt;"",I355,IF(G355="","",IF(ROUND(MOD(G355,1),1)&lt;=0.4,INT(G355)-1,INT(G355))))</f>
        <v/>
      </c>
      <c r="I355" s="56" t="n"/>
      <c r="J355" s="57">
        <f>IF(H355="","",IF(LOWER(A355)="gl",H355-2,IF(H355&gt;=60,H355-5,IF(AND(H355&gt;=50,H355&lt;60),H355-4,IF(AND(H355&gt;=10,H355&lt;50),H355-3,H355)))))</f>
        <v/>
      </c>
      <c r="K355" s="57" t="n"/>
    </row>
    <row r="356" ht="15" customHeight="1">
      <c r="A356" s="10" t="n"/>
      <c r="B356" s="2" t="n">
        <v>353</v>
      </c>
      <c r="C356" s="3" t="n"/>
      <c r="D356" s="3" t="n"/>
      <c r="E356" s="2" t="n"/>
      <c r="F356" s="5">
        <f>IF(E356="","",E356*1000)</f>
        <v/>
      </c>
      <c r="G356" s="23" t="n"/>
      <c r="H356" s="56">
        <f>IF(I356&lt;&gt;"",I356,IF(G356="","",IF(ROUND(MOD(G356,1),1)&lt;=0.4,INT(G356)-1,INT(G356))))</f>
        <v/>
      </c>
      <c r="I356" s="56" t="n"/>
      <c r="J356" s="57">
        <f>IF(H356="","",IF(LOWER(A356)="gl",H356-2,IF(H356&gt;=60,H356-5,IF(AND(H356&gt;=50,H356&lt;60),H356-4,IF(AND(H356&gt;=10,H356&lt;50),H356-3,H356)))))</f>
        <v/>
      </c>
      <c r="K356" s="57" t="n"/>
    </row>
    <row r="357" ht="15" customHeight="1">
      <c r="A357" s="10" t="n"/>
      <c r="B357" s="2" t="n">
        <v>354</v>
      </c>
      <c r="C357" s="3" t="n"/>
      <c r="D357" s="3" t="n"/>
      <c r="E357" s="2" t="n"/>
      <c r="F357" s="5">
        <f>IF(E357="","",E357*1000)</f>
        <v/>
      </c>
      <c r="G357" s="23" t="n"/>
      <c r="H357" s="56">
        <f>IF(I357&lt;&gt;"",I357,IF(G357="","",IF(ROUND(MOD(G357,1),1)&lt;=0.4,INT(G357)-1,INT(G357))))</f>
        <v/>
      </c>
      <c r="I357" s="56" t="n"/>
      <c r="J357" s="57">
        <f>IF(H357="","",IF(LOWER(A357)="gl",H357-2,IF(H357&gt;=60,H357-5,IF(AND(H357&gt;=50,H357&lt;60),H357-4,IF(AND(H357&gt;=10,H357&lt;50),H357-3,H357)))))</f>
        <v/>
      </c>
      <c r="K357" s="57" t="n"/>
    </row>
    <row r="358" ht="15" customHeight="1">
      <c r="A358" s="10" t="n"/>
      <c r="B358" s="2" t="n">
        <v>355</v>
      </c>
      <c r="C358" s="3" t="n"/>
      <c r="D358" s="3" t="n"/>
      <c r="E358" s="2" t="n"/>
      <c r="F358" s="5">
        <f>IF(E358="","",E358*1000)</f>
        <v/>
      </c>
      <c r="G358" s="23" t="n"/>
      <c r="H358" s="56">
        <f>IF(I358&lt;&gt;"",I358,IF(G358="","",IF(ROUND(MOD(G358,1),1)&lt;=0.4,INT(G358)-1,INT(G358))))</f>
        <v/>
      </c>
      <c r="I358" s="56" t="n"/>
      <c r="J358" s="57">
        <f>IF(H358="","",IF(LOWER(A358)="gl",H358-2,IF(H358&gt;=60,H358-5,IF(AND(H358&gt;=50,H358&lt;60),H358-4,IF(AND(H358&gt;=10,H358&lt;50),H358-3,H358)))))</f>
        <v/>
      </c>
      <c r="K358" s="57" t="n"/>
    </row>
    <row r="359" ht="15" customHeight="1">
      <c r="A359" s="10" t="n"/>
      <c r="B359" s="2" t="n">
        <v>356</v>
      </c>
      <c r="C359" s="3" t="n"/>
      <c r="D359" s="3" t="n"/>
      <c r="E359" s="2" t="n"/>
      <c r="F359" s="5">
        <f>IF(E359="","",E359*1000)</f>
        <v/>
      </c>
      <c r="G359" s="23" t="n"/>
      <c r="H359" s="56">
        <f>IF(I359&lt;&gt;"",I359,IF(G359="","",IF(ROUND(MOD(G359,1),1)&lt;=0.4,INT(G359)-1,INT(G359))))</f>
        <v/>
      </c>
      <c r="I359" s="56" t="n"/>
      <c r="J359" s="57">
        <f>IF(H359="","",IF(LOWER(A359)="gl",H359-2,IF(H359&gt;=60,H359-5,IF(AND(H359&gt;=50,H359&lt;60),H359-4,IF(AND(H359&gt;=10,H359&lt;50),H359-3,H359)))))</f>
        <v/>
      </c>
      <c r="K359" s="57" t="n"/>
    </row>
    <row r="360" ht="15" customHeight="1">
      <c r="A360" s="10" t="n"/>
      <c r="B360" s="2" t="n">
        <v>357</v>
      </c>
      <c r="C360" s="3" t="n"/>
      <c r="D360" s="3" t="n"/>
      <c r="E360" s="2" t="n"/>
      <c r="F360" s="5">
        <f>IF(E360="","",E360*1000)</f>
        <v/>
      </c>
      <c r="G360" s="23" t="n"/>
      <c r="H360" s="56">
        <f>IF(I360&lt;&gt;"",I360,IF(G360="","",IF(ROUND(MOD(G360,1),1)&lt;=0.4,INT(G360)-1,INT(G360))))</f>
        <v/>
      </c>
      <c r="I360" s="56" t="n"/>
      <c r="J360" s="57">
        <f>IF(H360="","",IF(LOWER(A360)="gl",H360-2,IF(H360&gt;=60,H360-5,IF(AND(H360&gt;=50,H360&lt;60),H360-4,IF(AND(H360&gt;=10,H360&lt;50),H360-3,H360)))))</f>
        <v/>
      </c>
      <c r="K360" s="57" t="n"/>
    </row>
    <row r="361" ht="15" customHeight="1">
      <c r="A361" s="10" t="n"/>
      <c r="B361" s="2" t="n">
        <v>358</v>
      </c>
      <c r="C361" s="3" t="n"/>
      <c r="D361" s="3" t="n"/>
      <c r="E361" s="2" t="n"/>
      <c r="F361" s="5">
        <f>IF(E361="","",E361*1000)</f>
        <v/>
      </c>
      <c r="G361" s="23" t="n"/>
      <c r="H361" s="56">
        <f>IF(I361&lt;&gt;"",I361,IF(G361="","",IF(ROUND(MOD(G361,1),1)&lt;=0.4,INT(G361)-1,INT(G361))))</f>
        <v/>
      </c>
      <c r="I361" s="56" t="n"/>
      <c r="J361" s="57">
        <f>IF(H361="","",IF(LOWER(A361)="gl",H361-2,IF(H361&gt;=60,H361-5,IF(AND(H361&gt;=50,H361&lt;60),H361-4,IF(AND(H361&gt;=10,H361&lt;50),H361-3,H361)))))</f>
        <v/>
      </c>
      <c r="K361" s="57" t="n"/>
    </row>
    <row r="362" ht="15" customHeight="1">
      <c r="A362" s="10" t="n"/>
      <c r="B362" s="2" t="n">
        <v>359</v>
      </c>
      <c r="C362" s="3" t="n"/>
      <c r="D362" s="3" t="n"/>
      <c r="E362" s="2" t="n"/>
      <c r="F362" s="5">
        <f>IF(E362="","",E362*1000)</f>
        <v/>
      </c>
      <c r="G362" s="23" t="n"/>
      <c r="H362" s="56">
        <f>IF(I362&lt;&gt;"",I362,IF(G362="","",IF(ROUND(MOD(G362,1),1)&lt;=0.4,INT(G362)-1,INT(G362))))</f>
        <v/>
      </c>
      <c r="I362" s="56" t="n"/>
      <c r="J362" s="57">
        <f>IF(H362="","",IF(LOWER(A362)="gl",H362-2,IF(H362&gt;=60,H362-5,IF(AND(H362&gt;=50,H362&lt;60),H362-4,IF(AND(H362&gt;=10,H362&lt;50),H362-3,H362)))))</f>
        <v/>
      </c>
      <c r="K362" s="57" t="n"/>
    </row>
    <row r="363" ht="15" customHeight="1">
      <c r="A363" s="10" t="n"/>
      <c r="B363" s="2" t="n">
        <v>360</v>
      </c>
      <c r="C363" s="3" t="n"/>
      <c r="D363" s="3" t="n"/>
      <c r="E363" s="2" t="n"/>
      <c r="F363" s="5">
        <f>IF(E363="","",E363*1000)</f>
        <v/>
      </c>
      <c r="G363" s="23" t="n"/>
      <c r="H363" s="56">
        <f>IF(I363&lt;&gt;"",I363,IF(G363="","",IF(ROUND(MOD(G363,1),1)&lt;=0.4,INT(G363)-1,INT(G363))))</f>
        <v/>
      </c>
      <c r="I363" s="56" t="n"/>
      <c r="J363" s="57">
        <f>IF(H363="","",IF(LOWER(A363)="gl",H363-2,IF(H363&gt;=60,H363-5,IF(AND(H363&gt;=50,H363&lt;60),H363-4,IF(AND(H363&gt;=10,H363&lt;50),H363-3,H363)))))</f>
        <v/>
      </c>
      <c r="K363" s="57" t="n"/>
    </row>
    <row r="364" ht="15" customHeight="1">
      <c r="A364" s="10" t="n"/>
      <c r="B364" s="2" t="n">
        <v>361</v>
      </c>
      <c r="C364" s="3" t="n"/>
      <c r="D364" s="3" t="n"/>
      <c r="E364" s="2" t="n"/>
      <c r="F364" s="5">
        <f>IF(E364="","",E364*1000)</f>
        <v/>
      </c>
      <c r="G364" s="23" t="n"/>
      <c r="H364" s="56">
        <f>IF(I364&lt;&gt;"",I364,IF(G364="","",IF(ROUND(MOD(G364,1),1)&lt;=0.4,INT(G364)-1,INT(G364))))</f>
        <v/>
      </c>
      <c r="I364" s="56" t="n"/>
      <c r="J364" s="57">
        <f>IF(H364="","",IF(LOWER(A364)="gl",H364-2,IF(H364&gt;=60,H364-5,IF(AND(H364&gt;=50,H364&lt;60),H364-4,IF(AND(H364&gt;=10,H364&lt;50),H364-3,H364)))))</f>
        <v/>
      </c>
      <c r="K364" s="57" t="n"/>
    </row>
    <row r="365" ht="15" customHeight="1">
      <c r="A365" s="10" t="n"/>
      <c r="B365" s="2" t="n">
        <v>362</v>
      </c>
      <c r="C365" s="3" t="n"/>
      <c r="D365" s="3" t="n"/>
      <c r="E365" s="2" t="n"/>
      <c r="F365" s="5">
        <f>IF(E365="","",E365*1000)</f>
        <v/>
      </c>
      <c r="G365" s="23" t="n"/>
      <c r="H365" s="56">
        <f>IF(I365&lt;&gt;"",I365,IF(G365="","",IF(ROUND(MOD(G365,1),1)&lt;=0.4,INT(G365)-1,INT(G365))))</f>
        <v/>
      </c>
      <c r="I365" s="56" t="n"/>
      <c r="J365" s="57">
        <f>IF(H365="","",IF(LOWER(A365)="gl",H365-2,IF(H365&gt;=60,H365-5,IF(AND(H365&gt;=50,H365&lt;60),H365-4,IF(AND(H365&gt;=10,H365&lt;50),H365-3,H365)))))</f>
        <v/>
      </c>
      <c r="K365" s="57" t="n"/>
    </row>
    <row r="366" ht="15" customHeight="1">
      <c r="A366" s="10" t="n"/>
      <c r="B366" s="2" t="n">
        <v>363</v>
      </c>
      <c r="C366" s="3" t="n"/>
      <c r="D366" s="3" t="n"/>
      <c r="E366" s="2" t="n"/>
      <c r="F366" s="5">
        <f>IF(E366="","",E366*1000)</f>
        <v/>
      </c>
      <c r="G366" s="23" t="n"/>
      <c r="H366" s="56">
        <f>IF(I366&lt;&gt;"",I366,IF(G366="","",IF(ROUND(MOD(G366,1),1)&lt;=0.4,INT(G366)-1,INT(G366))))</f>
        <v/>
      </c>
      <c r="I366" s="56" t="n"/>
      <c r="J366" s="57">
        <f>IF(H366="","",IF(LOWER(A366)="gl",H366-2,IF(H366&gt;=60,H366-5,IF(AND(H366&gt;=50,H366&lt;60),H366-4,IF(AND(H366&gt;=10,H366&lt;50),H366-3,H366)))))</f>
        <v/>
      </c>
      <c r="K366" s="57" t="n"/>
    </row>
    <row r="367" ht="15" customHeight="1">
      <c r="A367" s="10" t="n"/>
      <c r="B367" s="2" t="n">
        <v>364</v>
      </c>
      <c r="C367" s="3" t="n"/>
      <c r="D367" s="3" t="n"/>
      <c r="E367" s="2" t="n"/>
      <c r="F367" s="5">
        <f>IF(E367="","",E367*1000)</f>
        <v/>
      </c>
      <c r="G367" s="23" t="n"/>
      <c r="H367" s="56">
        <f>IF(I367&lt;&gt;"",I367,IF(G367="","",IF(ROUND(MOD(G367,1),1)&lt;=0.4,INT(G367)-1,INT(G367))))</f>
        <v/>
      </c>
      <c r="I367" s="56" t="n"/>
      <c r="J367" s="57">
        <f>IF(H367="","",IF(LOWER(A367)="gl",H367-2,IF(H367&gt;=60,H367-5,IF(AND(H367&gt;=50,H367&lt;60),H367-4,IF(AND(H367&gt;=10,H367&lt;50),H367-3,H367)))))</f>
        <v/>
      </c>
      <c r="K367" s="57" t="n"/>
    </row>
    <row r="368" ht="15" customHeight="1">
      <c r="A368" s="10" t="n"/>
      <c r="B368" s="2" t="n">
        <v>365</v>
      </c>
      <c r="C368" s="3" t="n"/>
      <c r="D368" s="3" t="n"/>
      <c r="E368" s="2" t="n"/>
      <c r="F368" s="5">
        <f>IF(E368="","",E368*1000)</f>
        <v/>
      </c>
      <c r="G368" s="23" t="n"/>
      <c r="H368" s="56">
        <f>IF(I368&lt;&gt;"",I368,IF(G368="","",IF(ROUND(MOD(G368,1),1)&lt;=0.4,INT(G368)-1,INT(G368))))</f>
        <v/>
      </c>
      <c r="I368" s="56" t="n"/>
      <c r="J368" s="57">
        <f>IF(H368="","",IF(LOWER(A368)="gl",H368-2,IF(H368&gt;=60,H368-5,IF(AND(H368&gt;=50,H368&lt;60),H368-4,IF(AND(H368&gt;=10,H368&lt;50),H368-3,H368)))))</f>
        <v/>
      </c>
      <c r="K368" s="57" t="n"/>
    </row>
    <row r="369" ht="15" customHeight="1">
      <c r="A369" s="10" t="n"/>
      <c r="B369" s="2" t="n">
        <v>366</v>
      </c>
      <c r="C369" s="3" t="n"/>
      <c r="D369" s="3" t="n"/>
      <c r="E369" s="2" t="n"/>
      <c r="F369" s="5">
        <f>IF(E369="","",E369*1000)</f>
        <v/>
      </c>
      <c r="G369" s="23" t="n"/>
      <c r="H369" s="56">
        <f>IF(I369&lt;&gt;"",I369,IF(G369="","",IF(ROUND(MOD(G369,1),1)&lt;=0.4,INT(G369)-1,INT(G369))))</f>
        <v/>
      </c>
      <c r="I369" s="56" t="n"/>
      <c r="J369" s="57">
        <f>IF(H369="","",IF(LOWER(A369)="gl",H369-2,IF(H369&gt;=60,H369-5,IF(AND(H369&gt;=50,H369&lt;60),H369-4,IF(AND(H369&gt;=10,H369&lt;50),H369-3,H369)))))</f>
        <v/>
      </c>
      <c r="K369" s="57" t="n"/>
    </row>
    <row r="370" ht="15" customHeight="1">
      <c r="A370" s="10" t="n"/>
      <c r="B370" s="2" t="n">
        <v>367</v>
      </c>
      <c r="C370" s="3" t="n"/>
      <c r="D370" s="3" t="n"/>
      <c r="E370" s="2" t="n"/>
      <c r="F370" s="5">
        <f>IF(E370="","",E370*1000)</f>
        <v/>
      </c>
      <c r="G370" s="23" t="n"/>
      <c r="H370" s="56">
        <f>IF(I370&lt;&gt;"",I370,IF(G370="","",IF(ROUND(MOD(G370,1),1)&lt;=0.4,INT(G370)-1,INT(G370))))</f>
        <v/>
      </c>
      <c r="I370" s="56" t="n"/>
      <c r="J370" s="57">
        <f>IF(H370="","",IF(LOWER(A370)="gl",H370-2,IF(H370&gt;=60,H370-5,IF(AND(H370&gt;=50,H370&lt;60),H370-4,IF(AND(H370&gt;=10,H370&lt;50),H370-3,H370)))))</f>
        <v/>
      </c>
      <c r="K370" s="57" t="n"/>
    </row>
    <row r="371" ht="15" customHeight="1">
      <c r="A371" s="10" t="n"/>
      <c r="B371" s="2" t="n">
        <v>368</v>
      </c>
      <c r="C371" s="3" t="n"/>
      <c r="D371" s="3" t="n"/>
      <c r="E371" s="2" t="n"/>
      <c r="F371" s="5">
        <f>IF(E371="","",E371*1000)</f>
        <v/>
      </c>
      <c r="G371" s="23" t="n"/>
      <c r="H371" s="56">
        <f>IF(I371&lt;&gt;"",I371,IF(G371="","",IF(ROUND(MOD(G371,1),1)&lt;=0.4,INT(G371)-1,INT(G371))))</f>
        <v/>
      </c>
      <c r="I371" s="56" t="n"/>
      <c r="J371" s="57">
        <f>IF(H371="","",IF(LOWER(A371)="gl",H371-2,IF(H371&gt;=60,H371-5,IF(AND(H371&gt;=50,H371&lt;60),H371-4,IF(AND(H371&gt;=10,H371&lt;50),H371-3,H371)))))</f>
        <v/>
      </c>
      <c r="K371" s="57" t="n"/>
    </row>
    <row r="372" ht="15" customHeight="1">
      <c r="A372" s="10" t="n"/>
      <c r="B372" s="2" t="n">
        <v>369</v>
      </c>
      <c r="C372" s="3" t="n"/>
      <c r="D372" s="3" t="n"/>
      <c r="E372" s="2" t="n"/>
      <c r="F372" s="5">
        <f>IF(E372="","",E372*1000)</f>
        <v/>
      </c>
      <c r="G372" s="23" t="n"/>
      <c r="H372" s="56">
        <f>IF(I372&lt;&gt;"",I372,IF(G372="","",IF(ROUND(MOD(G372,1),1)&lt;=0.4,INT(G372)-1,INT(G372))))</f>
        <v/>
      </c>
      <c r="I372" s="56" t="n"/>
      <c r="J372" s="57">
        <f>IF(H372="","",IF(LOWER(A372)="gl",H372-2,IF(H372&gt;=60,H372-5,IF(AND(H372&gt;=50,H372&lt;60),H372-4,IF(AND(H372&gt;=10,H372&lt;50),H372-3,H372)))))</f>
        <v/>
      </c>
      <c r="K372" s="57" t="n"/>
    </row>
    <row r="373" ht="15" customHeight="1">
      <c r="A373" s="10" t="n"/>
      <c r="B373" s="2" t="n">
        <v>370</v>
      </c>
      <c r="C373" s="3" t="n"/>
      <c r="D373" s="3" t="n"/>
      <c r="E373" s="2" t="n"/>
      <c r="F373" s="5">
        <f>IF(E373="","",E373*1000)</f>
        <v/>
      </c>
      <c r="G373" s="23" t="n"/>
      <c r="H373" s="56">
        <f>IF(I373&lt;&gt;"",I373,IF(G373="","",IF(ROUND(MOD(G373,1),1)&lt;=0.4,INT(G373)-1,INT(G373))))</f>
        <v/>
      </c>
      <c r="I373" s="56" t="n"/>
      <c r="J373" s="57">
        <f>IF(H373="","",IF(LOWER(A373)="gl",H373-2,IF(H373&gt;=60,H373-5,IF(AND(H373&gt;=50,H373&lt;60),H373-4,IF(AND(H373&gt;=10,H373&lt;50),H373-3,H373)))))</f>
        <v/>
      </c>
      <c r="K373" s="57" t="n"/>
    </row>
    <row r="374" ht="15" customHeight="1">
      <c r="A374" s="10" t="n"/>
      <c r="B374" s="2" t="n">
        <v>371</v>
      </c>
      <c r="C374" s="3" t="n"/>
      <c r="D374" s="3" t="n"/>
      <c r="E374" s="2" t="n"/>
      <c r="F374" s="5">
        <f>IF(E374="","",E374*1000)</f>
        <v/>
      </c>
      <c r="G374" s="23" t="n"/>
      <c r="H374" s="56">
        <f>IF(I374&lt;&gt;"",I374,IF(G374="","",IF(ROUND(MOD(G374,1),1)&lt;=0.4,INT(G374)-1,INT(G374))))</f>
        <v/>
      </c>
      <c r="I374" s="56" t="n"/>
      <c r="J374" s="57">
        <f>IF(H374="","",IF(LOWER(A374)="gl",H374-2,IF(H374&gt;=60,H374-5,IF(AND(H374&gt;=50,H374&lt;60),H374-4,IF(AND(H374&gt;=10,H374&lt;50),H374-3,H374)))))</f>
        <v/>
      </c>
      <c r="K374" s="57" t="n"/>
    </row>
    <row r="375" ht="15" customHeight="1">
      <c r="A375" s="10" t="n"/>
      <c r="B375" s="2" t="n">
        <v>372</v>
      </c>
      <c r="C375" s="3" t="n"/>
      <c r="D375" s="3" t="n"/>
      <c r="E375" s="2" t="n"/>
      <c r="F375" s="5">
        <f>IF(E375="","",E375*1000)</f>
        <v/>
      </c>
      <c r="G375" s="23" t="n"/>
      <c r="H375" s="56">
        <f>IF(I375&lt;&gt;"",I375,IF(G375="","",IF(ROUND(MOD(G375,1),1)&lt;=0.4,INT(G375)-1,INT(G375))))</f>
        <v/>
      </c>
      <c r="I375" s="56" t="n"/>
      <c r="J375" s="57">
        <f>IF(H375="","",IF(LOWER(A375)="gl",H375-2,IF(H375&gt;=60,H375-5,IF(AND(H375&gt;=50,H375&lt;60),H375-4,IF(AND(H375&gt;=10,H375&lt;50),H375-3,H375)))))</f>
        <v/>
      </c>
      <c r="K375" s="57" t="n"/>
    </row>
    <row r="376" ht="15" customHeight="1">
      <c r="A376" s="10" t="n"/>
      <c r="B376" s="2" t="n">
        <v>373</v>
      </c>
      <c r="C376" s="3" t="n"/>
      <c r="D376" s="3" t="n"/>
      <c r="E376" s="2" t="n"/>
      <c r="F376" s="5">
        <f>IF(E376="","",E376*1000)</f>
        <v/>
      </c>
      <c r="G376" s="23" t="n"/>
      <c r="H376" s="56">
        <f>IF(I376&lt;&gt;"",I376,IF(G376="","",IF(ROUND(MOD(G376,1),1)&lt;=0.4,INT(G376)-1,INT(G376))))</f>
        <v/>
      </c>
      <c r="I376" s="56" t="n"/>
      <c r="J376" s="57">
        <f>IF(H376="","",IF(LOWER(A376)="gl",H376-2,IF(H376&gt;=60,H376-5,IF(AND(H376&gt;=50,H376&lt;60),H376-4,IF(AND(H376&gt;=10,H376&lt;50),H376-3,H376)))))</f>
        <v/>
      </c>
      <c r="K376" s="57" t="n"/>
    </row>
    <row r="377" ht="15" customHeight="1">
      <c r="A377" s="10" t="n"/>
      <c r="B377" s="2" t="n">
        <v>374</v>
      </c>
      <c r="C377" s="3" t="n"/>
      <c r="D377" s="3" t="n"/>
      <c r="E377" s="2" t="n"/>
      <c r="F377" s="5">
        <f>IF(E377="","",E377*1000)</f>
        <v/>
      </c>
      <c r="G377" s="23" t="n"/>
      <c r="H377" s="56">
        <f>IF(I377&lt;&gt;"",I377,IF(G377="","",IF(ROUND(MOD(G377,1),1)&lt;=0.4,INT(G377)-1,INT(G377))))</f>
        <v/>
      </c>
      <c r="I377" s="56" t="n"/>
      <c r="J377" s="57">
        <f>IF(H377="","",IF(LOWER(A377)="gl",H377-2,IF(H377&gt;=60,H377-5,IF(AND(H377&gt;=50,H377&lt;60),H377-4,IF(AND(H377&gt;=10,H377&lt;50),H377-3,H377)))))</f>
        <v/>
      </c>
      <c r="K377" s="57" t="n"/>
    </row>
    <row r="378" ht="15" customHeight="1">
      <c r="A378" s="10" t="n"/>
      <c r="B378" s="2" t="n">
        <v>375</v>
      </c>
      <c r="C378" s="3" t="n"/>
      <c r="D378" s="3" t="n"/>
      <c r="E378" s="2" t="n"/>
      <c r="F378" s="5">
        <f>IF(E378="","",E378*1000)</f>
        <v/>
      </c>
      <c r="G378" s="23" t="n"/>
      <c r="H378" s="56">
        <f>IF(I378&lt;&gt;"",I378,IF(G378="","",IF(ROUND(MOD(G378,1),1)&lt;=0.4,INT(G378)-1,INT(G378))))</f>
        <v/>
      </c>
      <c r="I378" s="56" t="n"/>
      <c r="J378" s="57">
        <f>IF(H378="","",IF(LOWER(A378)="gl",H378-2,IF(H378&gt;=60,H378-5,IF(AND(H378&gt;=50,H378&lt;60),H378-4,IF(AND(H378&gt;=10,H378&lt;50),H378-3,H378)))))</f>
        <v/>
      </c>
      <c r="K378" s="57" t="n"/>
    </row>
    <row r="379" ht="15" customHeight="1">
      <c r="A379" s="10" t="n"/>
      <c r="B379" s="2" t="n">
        <v>376</v>
      </c>
      <c r="C379" s="3" t="n"/>
      <c r="D379" s="3" t="n"/>
      <c r="E379" s="2" t="n"/>
      <c r="F379" s="5">
        <f>IF(E379="","",E379*1000)</f>
        <v/>
      </c>
      <c r="G379" s="23" t="n"/>
      <c r="H379" s="56">
        <f>IF(I379&lt;&gt;"",I379,IF(G379="","",IF(ROUND(MOD(G379,1),1)&lt;=0.4,INT(G379)-1,INT(G379))))</f>
        <v/>
      </c>
      <c r="I379" s="56" t="n"/>
      <c r="J379" s="57">
        <f>IF(H379="","",IF(LOWER(A379)="gl",H379-2,IF(H379&gt;=60,H379-5,IF(AND(H379&gt;=50,H379&lt;60),H379-4,IF(AND(H379&gt;=10,H379&lt;50),H379-3,H379)))))</f>
        <v/>
      </c>
      <c r="K379" s="57" t="n"/>
    </row>
    <row r="380" ht="15" customHeight="1">
      <c r="A380" s="10" t="n"/>
      <c r="B380" s="2" t="n">
        <v>377</v>
      </c>
      <c r="C380" s="3" t="n"/>
      <c r="D380" s="3" t="n"/>
      <c r="E380" s="2" t="n"/>
      <c r="F380" s="5">
        <f>IF(E380="","",E380*1000)</f>
        <v/>
      </c>
      <c r="G380" s="23" t="n"/>
      <c r="H380" s="56">
        <f>IF(I380&lt;&gt;"",I380,IF(G380="","",IF(ROUND(MOD(G380,1),1)&lt;=0.4,INT(G380)-1,INT(G380))))</f>
        <v/>
      </c>
      <c r="I380" s="56" t="n"/>
      <c r="J380" s="57">
        <f>IF(H380="","",IF(LOWER(A380)="gl",H380-2,IF(H380&gt;=60,H380-5,IF(AND(H380&gt;=50,H380&lt;60),H380-4,IF(AND(H380&gt;=10,H380&lt;50),H380-3,H380)))))</f>
        <v/>
      </c>
      <c r="K380" s="57" t="n"/>
    </row>
    <row r="381" ht="15" customHeight="1">
      <c r="A381" s="10" t="n"/>
      <c r="B381" s="2" t="n">
        <v>378</v>
      </c>
      <c r="C381" s="3" t="n"/>
      <c r="D381" s="3" t="n"/>
      <c r="E381" s="2" t="n"/>
      <c r="F381" s="5">
        <f>IF(E381="","",E381*1000)</f>
        <v/>
      </c>
      <c r="G381" s="23" t="n"/>
      <c r="H381" s="56">
        <f>IF(I381&lt;&gt;"",I381,IF(G381="","",IF(ROUND(MOD(G381,1),1)&lt;=0.4,INT(G381)-1,INT(G381))))</f>
        <v/>
      </c>
      <c r="I381" s="56" t="n"/>
      <c r="J381" s="57">
        <f>IF(H381="","",IF(LOWER(A381)="gl",H381-2,IF(H381&gt;=60,H381-5,IF(AND(H381&gt;=50,H381&lt;60),H381-4,IF(AND(H381&gt;=10,H381&lt;50),H381-3,H381)))))</f>
        <v/>
      </c>
      <c r="K381" s="57" t="n"/>
    </row>
    <row r="382" ht="15" customHeight="1">
      <c r="A382" s="10" t="n"/>
      <c r="B382" s="2" t="n">
        <v>379</v>
      </c>
      <c r="C382" s="3" t="n"/>
      <c r="D382" s="3" t="n"/>
      <c r="E382" s="2" t="n"/>
      <c r="F382" s="5">
        <f>IF(E382="","",E382*1000)</f>
        <v/>
      </c>
      <c r="G382" s="23" t="n"/>
      <c r="H382" s="56">
        <f>IF(I382&lt;&gt;"",I382,IF(G382="","",IF(ROUND(MOD(G382,1),1)&lt;=0.4,INT(G382)-1,INT(G382))))</f>
        <v/>
      </c>
      <c r="I382" s="56" t="n"/>
      <c r="J382" s="57">
        <f>IF(H382="","",IF(LOWER(A382)="gl",H382-2,IF(H382&gt;=60,H382-5,IF(AND(H382&gt;=50,H382&lt;60),H382-4,IF(AND(H382&gt;=10,H382&lt;50),H382-3,H382)))))</f>
        <v/>
      </c>
      <c r="K382" s="57" t="n"/>
    </row>
    <row r="383" ht="15" customHeight="1">
      <c r="A383" s="10" t="n"/>
      <c r="B383" s="2" t="n">
        <v>380</v>
      </c>
      <c r="C383" s="3" t="n"/>
      <c r="D383" s="3" t="n"/>
      <c r="E383" s="2" t="n"/>
      <c r="F383" s="5">
        <f>IF(E383="","",E383*1000)</f>
        <v/>
      </c>
      <c r="G383" s="23" t="n"/>
      <c r="H383" s="56">
        <f>IF(I383&lt;&gt;"",I383,IF(G383="","",IF(ROUND(MOD(G383,1),1)&lt;=0.4,INT(G383)-1,INT(G383))))</f>
        <v/>
      </c>
      <c r="I383" s="56" t="n"/>
      <c r="J383" s="57">
        <f>IF(H383="","",IF(LOWER(A383)="gl",H383-2,IF(H383&gt;=60,H383-5,IF(AND(H383&gt;=50,H383&lt;60),H383-4,IF(AND(H383&gt;=10,H383&lt;50),H383-3,H383)))))</f>
        <v/>
      </c>
      <c r="K383" s="57" t="n"/>
    </row>
    <row r="384" ht="15" customHeight="1">
      <c r="A384" s="10" t="n"/>
      <c r="B384" s="2" t="n">
        <v>381</v>
      </c>
      <c r="C384" s="3" t="n"/>
      <c r="D384" s="3" t="n"/>
      <c r="E384" s="2" t="n"/>
      <c r="F384" s="5">
        <f>IF(E384="","",E384*1000)</f>
        <v/>
      </c>
      <c r="G384" s="23" t="n"/>
      <c r="H384" s="56">
        <f>IF(I384&lt;&gt;"",I384,IF(G384="","",IF(ROUND(MOD(G384,1),1)&lt;=0.4,INT(G384)-1,INT(G384))))</f>
        <v/>
      </c>
      <c r="I384" s="56" t="n"/>
      <c r="J384" s="57">
        <f>IF(H384="","",IF(LOWER(A384)="gl",H384-2,IF(H384&gt;=60,H384-5,IF(AND(H384&gt;=50,H384&lt;60),H384-4,IF(AND(H384&gt;=10,H384&lt;50),H384-3,H384)))))</f>
        <v/>
      </c>
      <c r="K384" s="57" t="n"/>
    </row>
    <row r="385" ht="15" customHeight="1">
      <c r="A385" s="10" t="n"/>
      <c r="B385" s="2" t="n">
        <v>382</v>
      </c>
      <c r="C385" s="3" t="n"/>
      <c r="D385" s="3" t="n"/>
      <c r="E385" s="2" t="n"/>
      <c r="F385" s="5">
        <f>IF(E385="","",E385*1000)</f>
        <v/>
      </c>
      <c r="G385" s="23" t="n"/>
      <c r="H385" s="56">
        <f>IF(I385&lt;&gt;"",I385,IF(G385="","",IF(ROUND(MOD(G385,1),1)&lt;=0.4,INT(G385)-1,INT(G385))))</f>
        <v/>
      </c>
      <c r="I385" s="56" t="n"/>
      <c r="J385" s="57">
        <f>IF(H385="","",IF(LOWER(A385)="gl",H385-2,IF(H385&gt;=60,H385-5,IF(AND(H385&gt;=50,H385&lt;60),H385-4,IF(AND(H385&gt;=10,H385&lt;50),H385-3,H385)))))</f>
        <v/>
      </c>
      <c r="K385" s="57" t="n"/>
    </row>
    <row r="386" ht="15" customHeight="1">
      <c r="A386" s="10" t="n"/>
      <c r="B386" s="2" t="n">
        <v>383</v>
      </c>
      <c r="C386" s="3" t="n"/>
      <c r="D386" s="3" t="n"/>
      <c r="E386" s="2" t="n"/>
      <c r="F386" s="5">
        <f>IF(E386="","",E386*1000)</f>
        <v/>
      </c>
      <c r="G386" s="23" t="n"/>
      <c r="H386" s="56">
        <f>IF(I386&lt;&gt;"",I386,IF(G386="","",IF(ROUND(MOD(G386,1),1)&lt;=0.4,INT(G386)-1,INT(G386))))</f>
        <v/>
      </c>
      <c r="I386" s="56" t="n"/>
      <c r="J386" s="57">
        <f>IF(H386="","",IF(LOWER(A386)="gl",H386-2,IF(H386&gt;=60,H386-5,IF(AND(H386&gt;=50,H386&lt;60),H386-4,IF(AND(H386&gt;=10,H386&lt;50),H386-3,H386)))))</f>
        <v/>
      </c>
      <c r="K386" s="57" t="n"/>
    </row>
    <row r="387" ht="15" customHeight="1">
      <c r="A387" s="10" t="n"/>
      <c r="B387" s="2" t="n">
        <v>384</v>
      </c>
      <c r="C387" s="3" t="n"/>
      <c r="D387" s="3" t="n"/>
      <c r="E387" s="2" t="n"/>
      <c r="F387" s="5">
        <f>IF(E387="","",E387*1000)</f>
        <v/>
      </c>
      <c r="G387" s="23" t="n"/>
      <c r="H387" s="56">
        <f>IF(I387&lt;&gt;"",I387,IF(G387="","",IF(ROUND(MOD(G387,1),1)&lt;=0.4,INT(G387)-1,INT(G387))))</f>
        <v/>
      </c>
      <c r="I387" s="56" t="n"/>
      <c r="J387" s="57">
        <f>IF(H387="","",IF(LOWER(A387)="gl",H387-2,IF(H387&gt;=60,H387-5,IF(AND(H387&gt;=50,H387&lt;60),H387-4,IF(AND(H387&gt;=10,H387&lt;50),H387-3,H387)))))</f>
        <v/>
      </c>
      <c r="K387" s="57" t="n"/>
    </row>
    <row r="388" ht="15" customHeight="1">
      <c r="A388" s="10" t="n"/>
      <c r="B388" s="2" t="n">
        <v>385</v>
      </c>
      <c r="C388" s="3" t="n"/>
      <c r="D388" s="3" t="n"/>
      <c r="E388" s="2" t="n"/>
      <c r="F388" s="5">
        <f>IF(E388="","",E388*1000)</f>
        <v/>
      </c>
      <c r="G388" s="23" t="n"/>
      <c r="H388" s="56">
        <f>IF(I388&lt;&gt;"",I388,IF(G388="","",IF(ROUND(MOD(G388,1),1)&lt;=0.4,INT(G388)-1,INT(G388))))</f>
        <v/>
      </c>
      <c r="I388" s="56" t="n"/>
      <c r="J388" s="57">
        <f>IF(H388="","",IF(LOWER(A388)="gl",H388-2,IF(H388&gt;=60,H388-5,IF(AND(H388&gt;=50,H388&lt;60),H388-4,IF(AND(H388&gt;=10,H388&lt;50),H388-3,H388)))))</f>
        <v/>
      </c>
      <c r="K388" s="57" t="n"/>
    </row>
    <row r="389" ht="15" customHeight="1">
      <c r="A389" s="10" t="n"/>
      <c r="B389" s="2" t="n">
        <v>386</v>
      </c>
      <c r="C389" s="3" t="n"/>
      <c r="D389" s="3" t="n"/>
      <c r="E389" s="2" t="n"/>
      <c r="F389" s="5">
        <f>IF(E389="","",E389*1000)</f>
        <v/>
      </c>
      <c r="G389" s="23" t="n"/>
      <c r="H389" s="56">
        <f>IF(I389&lt;&gt;"",I389,IF(G389="","",IF(ROUND(MOD(G389,1),1)&lt;=0.4,INT(G389)-1,INT(G389))))</f>
        <v/>
      </c>
      <c r="I389" s="56" t="n"/>
      <c r="J389" s="57">
        <f>IF(H389="","",IF(LOWER(A389)="gl",H389-2,IF(H389&gt;=60,H389-5,IF(AND(H389&gt;=50,H389&lt;60),H389-4,IF(AND(H389&gt;=10,H389&lt;50),H389-3,H389)))))</f>
        <v/>
      </c>
      <c r="K389" s="57" t="n"/>
    </row>
    <row r="390" ht="15" customHeight="1">
      <c r="A390" s="10" t="n"/>
      <c r="B390" s="2" t="n">
        <v>387</v>
      </c>
      <c r="C390" s="3" t="n"/>
      <c r="D390" s="3" t="n"/>
      <c r="E390" s="2" t="n"/>
      <c r="F390" s="5">
        <f>IF(E390="","",E390*1000)</f>
        <v/>
      </c>
      <c r="G390" s="23" t="n"/>
      <c r="H390" s="56">
        <f>IF(I390&lt;&gt;"",I390,IF(G390="","",IF(ROUND(MOD(G390,1),1)&lt;=0.4,INT(G390)-1,INT(G390))))</f>
        <v/>
      </c>
      <c r="I390" s="56" t="n"/>
      <c r="J390" s="57">
        <f>IF(H390="","",IF(LOWER(A390)="gl",H390-2,IF(H390&gt;=60,H390-5,IF(AND(H390&gt;=50,H390&lt;60),H390-4,IF(AND(H390&gt;=10,H390&lt;50),H390-3,H390)))))</f>
        <v/>
      </c>
      <c r="K390" s="57" t="n"/>
    </row>
    <row r="391" ht="15" customHeight="1">
      <c r="A391" s="10" t="n"/>
      <c r="B391" s="2" t="n">
        <v>388</v>
      </c>
      <c r="C391" s="3" t="n"/>
      <c r="D391" s="3" t="n"/>
      <c r="E391" s="2" t="n"/>
      <c r="F391" s="5">
        <f>IF(E391="","",E391*1000)</f>
        <v/>
      </c>
      <c r="G391" s="23" t="n"/>
      <c r="H391" s="56">
        <f>IF(I391&lt;&gt;"",I391,IF(G391="","",IF(ROUND(MOD(G391,1),1)&lt;=0.4,INT(G391)-1,INT(G391))))</f>
        <v/>
      </c>
      <c r="I391" s="56" t="n"/>
      <c r="J391" s="57">
        <f>IF(H391="","",IF(LOWER(A391)="gl",H391-2,IF(H391&gt;=60,H391-5,IF(AND(H391&gt;=50,H391&lt;60),H391-4,IF(AND(H391&gt;=10,H391&lt;50),H391-3,H391)))))</f>
        <v/>
      </c>
      <c r="K391" s="57" t="n"/>
    </row>
    <row r="392" ht="15" customHeight="1">
      <c r="A392" s="10" t="n"/>
      <c r="B392" s="2" t="n">
        <v>389</v>
      </c>
      <c r="C392" s="3" t="n"/>
      <c r="D392" s="3" t="n"/>
      <c r="E392" s="2" t="n"/>
      <c r="F392" s="5">
        <f>IF(E392="","",E392*1000)</f>
        <v/>
      </c>
      <c r="G392" s="23" t="n"/>
      <c r="H392" s="56">
        <f>IF(I392&lt;&gt;"",I392,IF(G392="","",IF(ROUND(MOD(G392,1),1)&lt;=0.4,INT(G392)-1,INT(G392))))</f>
        <v/>
      </c>
      <c r="I392" s="56" t="n"/>
      <c r="J392" s="57">
        <f>IF(H392="","",IF(LOWER(A392)="gl",H392-2,IF(H392&gt;=60,H392-5,IF(AND(H392&gt;=50,H392&lt;60),H392-4,IF(AND(H392&gt;=10,H392&lt;50),H392-3,H392)))))</f>
        <v/>
      </c>
      <c r="K392" s="57" t="n"/>
    </row>
    <row r="393" ht="15" customHeight="1">
      <c r="A393" s="10" t="n"/>
      <c r="B393" s="2" t="n">
        <v>390</v>
      </c>
      <c r="C393" s="3" t="n"/>
      <c r="D393" s="3" t="n"/>
      <c r="E393" s="2" t="n"/>
      <c r="F393" s="5">
        <f>IF(E393="","",E393*1000)</f>
        <v/>
      </c>
      <c r="G393" s="23" t="n"/>
      <c r="H393" s="56">
        <f>IF(I393&lt;&gt;"",I393,IF(G393="","",IF(ROUND(MOD(G393,1),1)&lt;=0.4,INT(G393)-1,INT(G393))))</f>
        <v/>
      </c>
      <c r="I393" s="56" t="n"/>
      <c r="J393" s="57">
        <f>IF(H393="","",IF(LOWER(A393)="gl",H393-2,IF(H393&gt;=60,H393-5,IF(AND(H393&gt;=50,H393&lt;60),H393-4,IF(AND(H393&gt;=10,H393&lt;50),H393-3,H393)))))</f>
        <v/>
      </c>
      <c r="K393" s="57" t="n"/>
    </row>
    <row r="394" ht="15" customHeight="1">
      <c r="A394" s="10" t="n"/>
      <c r="B394" s="2" t="n">
        <v>391</v>
      </c>
      <c r="C394" s="3" t="n"/>
      <c r="D394" s="3" t="n"/>
      <c r="E394" s="2" t="n"/>
      <c r="F394" s="5">
        <f>IF(E394="","",E394*1000)</f>
        <v/>
      </c>
      <c r="G394" s="23" t="n"/>
      <c r="H394" s="56">
        <f>IF(I394&lt;&gt;"",I394,IF(G394="","",IF(ROUND(MOD(G394,1),1)&lt;=0.4,INT(G394)-1,INT(G394))))</f>
        <v/>
      </c>
      <c r="I394" s="56" t="n"/>
      <c r="J394" s="57">
        <f>IF(H394="","",IF(LOWER(A394)="gl",H394-2,IF(H394&gt;=60,H394-5,IF(AND(H394&gt;=50,H394&lt;60),H394-4,IF(AND(H394&gt;=10,H394&lt;50),H394-3,H394)))))</f>
        <v/>
      </c>
      <c r="K394" s="57" t="n"/>
    </row>
    <row r="395" ht="15" customHeight="1">
      <c r="A395" s="10" t="n"/>
      <c r="B395" s="2" t="n">
        <v>392</v>
      </c>
      <c r="C395" s="3" t="n"/>
      <c r="D395" s="3" t="n"/>
      <c r="E395" s="2" t="n"/>
      <c r="F395" s="5">
        <f>IF(E395="","",E395*1000)</f>
        <v/>
      </c>
      <c r="G395" s="23" t="n"/>
      <c r="H395" s="56">
        <f>IF(I395&lt;&gt;"",I395,IF(G395="","",IF(ROUND(MOD(G395,1),1)&lt;=0.4,INT(G395)-1,INT(G395))))</f>
        <v/>
      </c>
      <c r="I395" s="56" t="n"/>
      <c r="J395" s="57">
        <f>IF(H395="","",IF(LOWER(A395)="gl",H395-2,IF(H395&gt;=60,H395-5,IF(AND(H395&gt;=50,H395&lt;60),H395-4,IF(AND(H395&gt;=10,H395&lt;50),H395-3,H395)))))</f>
        <v/>
      </c>
      <c r="K395" s="57" t="n"/>
    </row>
    <row r="396" ht="15" customHeight="1">
      <c r="A396" s="10" t="n"/>
      <c r="B396" s="2" t="n">
        <v>393</v>
      </c>
      <c r="C396" s="3" t="n"/>
      <c r="D396" s="3" t="n"/>
      <c r="E396" s="2" t="n"/>
      <c r="F396" s="5">
        <f>IF(E396="","",E396*1000)</f>
        <v/>
      </c>
      <c r="G396" s="23" t="n"/>
      <c r="H396" s="56">
        <f>IF(I396&lt;&gt;"",I396,IF(G396="","",IF(ROUND(MOD(G396,1),1)&lt;=0.4,INT(G396)-1,INT(G396))))</f>
        <v/>
      </c>
      <c r="I396" s="56" t="n"/>
      <c r="J396" s="57">
        <f>IF(H396="","",IF(LOWER(A396)="gl",H396-2,IF(H396&gt;=60,H396-5,IF(AND(H396&gt;=50,H396&lt;60),H396-4,IF(AND(H396&gt;=10,H396&lt;50),H396-3,H396)))))</f>
        <v/>
      </c>
      <c r="K396" s="57" t="n"/>
    </row>
    <row r="397" ht="15" customHeight="1">
      <c r="A397" s="10" t="n"/>
      <c r="B397" s="2" t="n">
        <v>394</v>
      </c>
      <c r="C397" s="3" t="n"/>
      <c r="D397" s="3" t="n"/>
      <c r="E397" s="2" t="n"/>
      <c r="F397" s="5">
        <f>IF(E397="","",E397*1000)</f>
        <v/>
      </c>
      <c r="G397" s="23" t="n"/>
      <c r="H397" s="56">
        <f>IF(I397&lt;&gt;"",I397,IF(G397="","",IF(ROUND(MOD(G397,1),1)&lt;=0.4,INT(G397)-1,INT(G397))))</f>
        <v/>
      </c>
      <c r="I397" s="56" t="n"/>
      <c r="J397" s="57">
        <f>IF(H397="","",IF(LOWER(A397)="gl",H397-2,IF(H397&gt;=60,H397-5,IF(AND(H397&gt;=50,H397&lt;60),H397-4,IF(AND(H397&gt;=10,H397&lt;50),H397-3,H397)))))</f>
        <v/>
      </c>
      <c r="K397" s="57" t="n"/>
    </row>
    <row r="398" ht="15" customHeight="1">
      <c r="A398" s="10" t="n"/>
      <c r="B398" s="2" t="n">
        <v>395</v>
      </c>
      <c r="C398" s="3" t="n"/>
      <c r="D398" s="3" t="n"/>
      <c r="E398" s="2" t="n"/>
      <c r="F398" s="5">
        <f>IF(E398="","",E398*1000)</f>
        <v/>
      </c>
      <c r="G398" s="23" t="n"/>
      <c r="H398" s="56">
        <f>IF(I398&lt;&gt;"",I398,IF(G398="","",IF(ROUND(MOD(G398,1),1)&lt;=0.4,INT(G398)-1,INT(G398))))</f>
        <v/>
      </c>
      <c r="I398" s="56" t="n"/>
      <c r="J398" s="57">
        <f>IF(H398="","",IF(LOWER(A398)="gl",H398-2,IF(H398&gt;=60,H398-5,IF(AND(H398&gt;=50,H398&lt;60),H398-4,IF(AND(H398&gt;=10,H398&lt;50),H398-3,H398)))))</f>
        <v/>
      </c>
      <c r="K398" s="57" t="n"/>
    </row>
    <row r="399" ht="15" customHeight="1">
      <c r="A399" s="10" t="n"/>
      <c r="B399" s="2" t="n">
        <v>396</v>
      </c>
      <c r="C399" s="3" t="n"/>
      <c r="D399" s="3" t="n"/>
      <c r="E399" s="2" t="n"/>
      <c r="F399" s="5">
        <f>IF(E399="","",E399*1000)</f>
        <v/>
      </c>
      <c r="G399" s="23" t="n"/>
      <c r="H399" s="56">
        <f>IF(I399&lt;&gt;"",I399,IF(G399="","",IF(ROUND(MOD(G399,1),1)&lt;=0.4,INT(G399)-1,INT(G399))))</f>
        <v/>
      </c>
      <c r="I399" s="56" t="n"/>
      <c r="J399" s="57">
        <f>IF(H399="","",IF(LOWER(A399)="gl",H399-2,IF(H399&gt;=60,H399-5,IF(AND(H399&gt;=50,H399&lt;60),H399-4,IF(AND(H399&gt;=10,H399&lt;50),H399-3,H399)))))</f>
        <v/>
      </c>
      <c r="K399" s="57" t="n"/>
    </row>
    <row r="400" ht="15" customHeight="1">
      <c r="A400" s="10" t="n"/>
      <c r="B400" s="2" t="n">
        <v>397</v>
      </c>
      <c r="C400" s="3" t="n"/>
      <c r="D400" s="3" t="n"/>
      <c r="E400" s="2" t="n"/>
      <c r="F400" s="5">
        <f>IF(E400="","",E400*1000)</f>
        <v/>
      </c>
      <c r="G400" s="23" t="n"/>
      <c r="H400" s="56">
        <f>IF(I400&lt;&gt;"",I400,IF(G400="","",IF(ROUND(MOD(G400,1),1)&lt;=0.4,INT(G400)-1,INT(G400))))</f>
        <v/>
      </c>
      <c r="I400" s="56" t="n"/>
      <c r="J400" s="57">
        <f>IF(H400="","",IF(LOWER(A400)="gl",H400-2,IF(H400&gt;=60,H400-5,IF(AND(H400&gt;=50,H400&lt;60),H400-4,IF(AND(H400&gt;=10,H400&lt;50),H400-3,H400)))))</f>
        <v/>
      </c>
      <c r="K400" s="57" t="n"/>
    </row>
    <row r="401" ht="15" customHeight="1">
      <c r="A401" s="10" t="n"/>
      <c r="B401" s="2" t="n">
        <v>398</v>
      </c>
      <c r="C401" s="3" t="n"/>
      <c r="D401" s="3" t="n"/>
      <c r="E401" s="2" t="n"/>
      <c r="F401" s="5">
        <f>IF(E401="","",E401*1000)</f>
        <v/>
      </c>
      <c r="G401" s="23" t="n"/>
      <c r="H401" s="56">
        <f>IF(I401&lt;&gt;"",I401,IF(G401="","",IF(ROUND(MOD(G401,1),1)&lt;=0.4,INT(G401)-1,INT(G401))))</f>
        <v/>
      </c>
      <c r="I401" s="56" t="n"/>
      <c r="J401" s="57">
        <f>IF(H401="","",IF(LOWER(A401)="gl",H401-2,IF(H401&gt;=60,H401-5,IF(AND(H401&gt;=50,H401&lt;60),H401-4,IF(AND(H401&gt;=10,H401&lt;50),H401-3,H401)))))</f>
        <v/>
      </c>
      <c r="K401" s="57" t="n"/>
    </row>
    <row r="402" ht="15" customHeight="1">
      <c r="A402" s="10" t="n"/>
      <c r="B402" s="2" t="n">
        <v>399</v>
      </c>
      <c r="C402" s="3" t="n"/>
      <c r="D402" s="3" t="n"/>
      <c r="E402" s="2" t="n"/>
      <c r="F402" s="5">
        <f>IF(E402="","",E402*1000)</f>
        <v/>
      </c>
      <c r="G402" s="23" t="n"/>
      <c r="H402" s="56">
        <f>IF(I402&lt;&gt;"",I402,IF(G402="","",IF(ROUND(MOD(G402,1),1)&lt;=0.4,INT(G402)-1,INT(G402))))</f>
        <v/>
      </c>
      <c r="I402" s="56" t="n"/>
      <c r="J402" s="57">
        <f>IF(H402="","",IF(LOWER(A402)="gl",H402-2,IF(H402&gt;=60,H402-5,IF(AND(H402&gt;=50,H402&lt;60),H402-4,IF(AND(H402&gt;=10,H402&lt;50),H402-3,H402)))))</f>
        <v/>
      </c>
      <c r="K402" s="57" t="n"/>
    </row>
    <row r="403" ht="15" customHeight="1">
      <c r="A403" s="10" t="n"/>
      <c r="B403" s="2" t="n">
        <v>400</v>
      </c>
      <c r="C403" s="3" t="n"/>
      <c r="D403" s="3" t="n"/>
      <c r="E403" s="2" t="n"/>
      <c r="F403" s="5">
        <f>IF(E403="","",E403*1000)</f>
        <v/>
      </c>
      <c r="G403" s="23" t="n"/>
      <c r="H403" s="56">
        <f>IF(I403&lt;&gt;"",I403,IF(G403="","",IF(ROUND(MOD(G403,1),1)&lt;=0.4,INT(G403)-1,INT(G403))))</f>
        <v/>
      </c>
      <c r="I403" s="56" t="n"/>
      <c r="J403" s="57">
        <f>IF(H403="","",IF(LOWER(A403)="gl",H403-2,IF(H403&gt;=60,H403-5,IF(AND(H403&gt;=50,H403&lt;60),H403-4,IF(AND(H403&gt;=10,H403&lt;50),H403-3,H403)))))</f>
        <v/>
      </c>
      <c r="K403" s="57" t="n"/>
    </row>
    <row r="404" ht="15" customHeight="1">
      <c r="A404" s="10" t="n"/>
      <c r="B404" s="2" t="n">
        <v>401</v>
      </c>
      <c r="C404" s="3" t="n"/>
      <c r="D404" s="3" t="n"/>
      <c r="E404" s="2" t="n"/>
      <c r="F404" s="5">
        <f>IF(E404="","",E404*1000)</f>
        <v/>
      </c>
      <c r="G404" s="23" t="n"/>
      <c r="H404" s="56">
        <f>IF(I404&lt;&gt;"",I404,IF(G404="","",IF(ROUND(MOD(G404,1),1)&lt;=0.4,INT(G404)-1,INT(G404))))</f>
        <v/>
      </c>
      <c r="I404" s="56" t="n"/>
      <c r="J404" s="57">
        <f>IF(H404="","",IF(LOWER(A404)="gl",H404-2,IF(H404&gt;=60,H404-5,IF(AND(H404&gt;=50,H404&lt;60),H404-4,IF(AND(H404&gt;=10,H404&lt;50),H404-3,H404)))))</f>
        <v/>
      </c>
      <c r="K404" s="57" t="n"/>
    </row>
    <row r="405" ht="15" customHeight="1">
      <c r="A405" s="10" t="n"/>
      <c r="B405" s="2" t="n">
        <v>402</v>
      </c>
      <c r="C405" s="3" t="n"/>
      <c r="D405" s="3" t="n"/>
      <c r="E405" s="2" t="n"/>
      <c r="F405" s="5">
        <f>IF(E405="","",E405*1000)</f>
        <v/>
      </c>
      <c r="G405" s="23" t="n"/>
      <c r="H405" s="56">
        <f>IF(I405&lt;&gt;"",I405,IF(G405="","",IF(ROUND(MOD(G405,1),1)&lt;=0.4,INT(G405)-1,INT(G405))))</f>
        <v/>
      </c>
      <c r="I405" s="56" t="n"/>
      <c r="J405" s="57">
        <f>IF(H405="","",IF(LOWER(A405)="gl",H405-2,IF(H405&gt;=60,H405-5,IF(AND(H405&gt;=50,H405&lt;60),H405-4,IF(AND(H405&gt;=10,H405&lt;50),H405-3,H405)))))</f>
        <v/>
      </c>
      <c r="K405" s="57" t="n"/>
    </row>
    <row r="406" ht="15" customHeight="1">
      <c r="A406" s="10" t="n"/>
      <c r="B406" s="2" t="n">
        <v>403</v>
      </c>
      <c r="C406" s="3" t="n"/>
      <c r="D406" s="3" t="n"/>
      <c r="E406" s="2" t="n"/>
      <c r="F406" s="5">
        <f>IF(E406="","",E406*1000)</f>
        <v/>
      </c>
      <c r="G406" s="23" t="n"/>
      <c r="H406" s="56">
        <f>IF(I406&lt;&gt;"",I406,IF(G406="","",IF(ROUND(MOD(G406,1),1)&lt;=0.4,INT(G406)-1,INT(G406))))</f>
        <v/>
      </c>
      <c r="I406" s="56" t="n"/>
      <c r="J406" s="57">
        <f>IF(H406="","",IF(LOWER(A406)="gl",H406-2,IF(H406&gt;=60,H406-5,IF(AND(H406&gt;=50,H406&lt;60),H406-4,IF(AND(H406&gt;=10,H406&lt;50),H406-3,H406)))))</f>
        <v/>
      </c>
      <c r="K406" s="57" t="n"/>
    </row>
    <row r="407" ht="15" customHeight="1">
      <c r="A407" s="10" t="n"/>
      <c r="B407" s="2" t="n">
        <v>404</v>
      </c>
      <c r="C407" s="3" t="n"/>
      <c r="D407" s="3" t="n"/>
      <c r="E407" s="2" t="n"/>
      <c r="F407" s="5">
        <f>IF(E407="","",E407*1000)</f>
        <v/>
      </c>
      <c r="G407" s="23" t="n"/>
      <c r="H407" s="56">
        <f>IF(I407&lt;&gt;"",I407,IF(G407="","",IF(ROUND(MOD(G407,1),1)&lt;=0.4,INT(G407)-1,INT(G407))))</f>
        <v/>
      </c>
      <c r="I407" s="56" t="n"/>
      <c r="J407" s="57">
        <f>IF(H407="","",IF(LOWER(A407)="gl",H407-2,IF(H407&gt;=60,H407-5,IF(AND(H407&gt;=50,H407&lt;60),H407-4,IF(AND(H407&gt;=10,H407&lt;50),H407-3,H407)))))</f>
        <v/>
      </c>
      <c r="K407" s="57" t="n"/>
    </row>
    <row r="408" ht="15" customHeight="1">
      <c r="A408" s="10" t="n"/>
      <c r="B408" s="2" t="n">
        <v>405</v>
      </c>
      <c r="C408" s="3" t="n"/>
      <c r="D408" s="3" t="n"/>
      <c r="E408" s="2" t="n"/>
      <c r="F408" s="5">
        <f>IF(E408="","",E408*1000)</f>
        <v/>
      </c>
      <c r="G408" s="23" t="n"/>
      <c r="H408" s="56">
        <f>IF(I408&lt;&gt;"",I408,IF(G408="","",IF(ROUND(MOD(G408,1),1)&lt;=0.4,INT(G408)-1,INT(G408))))</f>
        <v/>
      </c>
      <c r="I408" s="56" t="n"/>
      <c r="J408" s="57">
        <f>IF(H408="","",IF(LOWER(A408)="gl",H408-2,IF(H408&gt;=60,H408-5,IF(AND(H408&gt;=50,H408&lt;60),H408-4,IF(AND(H408&gt;=10,H408&lt;50),H408-3,H408)))))</f>
        <v/>
      </c>
      <c r="K408" s="57" t="n"/>
    </row>
    <row r="409" ht="15" customHeight="1">
      <c r="A409" s="10" t="n"/>
      <c r="B409" s="2" t="n">
        <v>406</v>
      </c>
      <c r="C409" s="3" t="n"/>
      <c r="D409" s="3" t="n"/>
      <c r="E409" s="2" t="n"/>
      <c r="F409" s="5">
        <f>IF(E409="","",E409*1000)</f>
        <v/>
      </c>
      <c r="G409" s="23" t="n"/>
      <c r="H409" s="56">
        <f>IF(I409&lt;&gt;"",I409,IF(G409="","",IF(ROUND(MOD(G409,1),1)&lt;=0.4,INT(G409)-1,INT(G409))))</f>
        <v/>
      </c>
      <c r="I409" s="56" t="n"/>
      <c r="J409" s="57">
        <f>IF(H409="","",IF(LOWER(A409)="gl",H409-2,IF(H409&gt;=60,H409-5,IF(AND(H409&gt;=50,H409&lt;60),H409-4,IF(AND(H409&gt;=10,H409&lt;50),H409-3,H409)))))</f>
        <v/>
      </c>
      <c r="K409" s="57" t="n"/>
    </row>
    <row r="410" ht="15" customHeight="1">
      <c r="A410" s="10" t="n"/>
      <c r="B410" s="2" t="n">
        <v>407</v>
      </c>
      <c r="C410" s="3" t="n"/>
      <c r="D410" s="3" t="n"/>
      <c r="E410" s="2" t="n"/>
      <c r="F410" s="5">
        <f>IF(E410="","",E410*1000)</f>
        <v/>
      </c>
      <c r="G410" s="23" t="n"/>
      <c r="H410" s="56">
        <f>IF(I410&lt;&gt;"",I410,IF(G410="","",IF(ROUND(MOD(G410,1),1)&lt;=0.4,INT(G410)-1,INT(G410))))</f>
        <v/>
      </c>
      <c r="I410" s="56" t="n"/>
      <c r="J410" s="57">
        <f>IF(H410="","",IF(LOWER(A410)="gl",H410-2,IF(H410&gt;=60,H410-5,IF(AND(H410&gt;=50,H410&lt;60),H410-4,IF(AND(H410&gt;=10,H410&lt;50),H410-3,H410)))))</f>
        <v/>
      </c>
      <c r="K410" s="57" t="n"/>
    </row>
    <row r="411" ht="15" customHeight="1">
      <c r="A411" s="10" t="n"/>
      <c r="B411" s="2" t="n">
        <v>408</v>
      </c>
      <c r="C411" s="3" t="n"/>
      <c r="D411" s="3" t="n"/>
      <c r="E411" s="2" t="n"/>
      <c r="F411" s="5">
        <f>IF(E411="","",E411*1000)</f>
        <v/>
      </c>
      <c r="G411" s="23" t="n"/>
      <c r="H411" s="56">
        <f>IF(I411&lt;&gt;"",I411,IF(G411="","",IF(ROUND(MOD(G411,1),1)&lt;=0.4,INT(G411)-1,INT(G411))))</f>
        <v/>
      </c>
      <c r="I411" s="56" t="n"/>
      <c r="J411" s="57">
        <f>IF(H411="","",IF(LOWER(A411)="gl",H411-2,IF(H411&gt;=60,H411-5,IF(AND(H411&gt;=50,H411&lt;60),H411-4,IF(AND(H411&gt;=10,H411&lt;50),H411-3,H411)))))</f>
        <v/>
      </c>
      <c r="K411" s="57" t="n"/>
    </row>
    <row r="412" ht="15" customHeight="1">
      <c r="A412" s="10" t="n"/>
      <c r="B412" s="2" t="n">
        <v>409</v>
      </c>
      <c r="C412" s="3" t="n"/>
      <c r="D412" s="3" t="n"/>
      <c r="E412" s="2" t="n"/>
      <c r="F412" s="5">
        <f>IF(E412="","",E412*1000)</f>
        <v/>
      </c>
      <c r="G412" s="23" t="n"/>
      <c r="H412" s="56">
        <f>IF(I412&lt;&gt;"",I412,IF(G412="","",IF(ROUND(MOD(G412,1),1)&lt;=0.4,INT(G412)-1,INT(G412))))</f>
        <v/>
      </c>
      <c r="I412" s="56" t="n"/>
      <c r="J412" s="57">
        <f>IF(H412="","",IF(LOWER(A412)="gl",H412-2,IF(H412&gt;=60,H412-5,IF(AND(H412&gt;=50,H412&lt;60),H412-4,IF(AND(H412&gt;=10,H412&lt;50),H412-3,H412)))))</f>
        <v/>
      </c>
      <c r="K412" s="57" t="n"/>
    </row>
    <row r="413" ht="15" customHeight="1">
      <c r="A413" s="10" t="n"/>
      <c r="B413" s="2" t="n">
        <v>410</v>
      </c>
      <c r="C413" s="3" t="n"/>
      <c r="D413" s="3" t="n"/>
      <c r="E413" s="2" t="n"/>
      <c r="F413" s="5">
        <f>IF(E413="","",E413*1000)</f>
        <v/>
      </c>
      <c r="G413" s="23" t="n"/>
      <c r="H413" s="56">
        <f>IF(I413&lt;&gt;"",I413,IF(G413="","",IF(ROUND(MOD(G413,1),1)&lt;=0.4,INT(G413)-1,INT(G413))))</f>
        <v/>
      </c>
      <c r="I413" s="56" t="n"/>
      <c r="J413" s="57">
        <f>IF(H413="","",IF(LOWER(A413)="gl",H413-2,IF(H413&gt;=60,H413-5,IF(AND(H413&gt;=50,H413&lt;60),H413-4,IF(AND(H413&gt;=10,H413&lt;50),H413-3,H413)))))</f>
        <v/>
      </c>
      <c r="K413" s="57" t="n"/>
    </row>
    <row r="414" ht="15" customHeight="1">
      <c r="A414" s="10" t="n"/>
      <c r="B414" s="2" t="n">
        <v>411</v>
      </c>
      <c r="C414" s="3" t="n"/>
      <c r="D414" s="3" t="n"/>
      <c r="E414" s="2" t="n"/>
      <c r="F414" s="5">
        <f>IF(E414="","",E414*1000)</f>
        <v/>
      </c>
      <c r="G414" s="23" t="n"/>
      <c r="H414" s="56">
        <f>IF(I414&lt;&gt;"",I414,IF(G414="","",IF(ROUND(MOD(G414,1),1)&lt;=0.4,INT(G414)-1,INT(G414))))</f>
        <v/>
      </c>
      <c r="I414" s="56" t="n"/>
      <c r="J414" s="57">
        <f>IF(H414="","",IF(LOWER(A414)="gl",H414-2,IF(H414&gt;=60,H414-5,IF(AND(H414&gt;=50,H414&lt;60),H414-4,IF(AND(H414&gt;=10,H414&lt;50),H414-3,H414)))))</f>
        <v/>
      </c>
      <c r="K414" s="57" t="n"/>
    </row>
    <row r="415" ht="15" customHeight="1">
      <c r="A415" s="10" t="n"/>
      <c r="B415" s="2" t="n">
        <v>412</v>
      </c>
      <c r="C415" s="3" t="n"/>
      <c r="D415" s="3" t="n"/>
      <c r="E415" s="2" t="n"/>
      <c r="F415" s="5">
        <f>IF(E415="","",E415*1000)</f>
        <v/>
      </c>
      <c r="G415" s="23" t="n"/>
      <c r="H415" s="56">
        <f>IF(I415&lt;&gt;"",I415,IF(G415="","",IF(ROUND(MOD(G415,1),1)&lt;=0.4,INT(G415)-1,INT(G415))))</f>
        <v/>
      </c>
      <c r="I415" s="56" t="n"/>
      <c r="J415" s="57">
        <f>IF(H415="","",IF(LOWER(A415)="gl",H415-2,IF(H415&gt;=60,H415-5,IF(AND(H415&gt;=50,H415&lt;60),H415-4,IF(AND(H415&gt;=10,H415&lt;50),H415-3,H415)))))</f>
        <v/>
      </c>
      <c r="K415" s="57" t="n"/>
    </row>
    <row r="416" ht="15" customHeight="1">
      <c r="A416" s="10" t="n"/>
      <c r="B416" s="2" t="n">
        <v>413</v>
      </c>
      <c r="C416" s="3" t="n"/>
      <c r="D416" s="3" t="n"/>
      <c r="E416" s="2" t="n"/>
      <c r="F416" s="5">
        <f>IF(E416="","",E416*1000)</f>
        <v/>
      </c>
      <c r="G416" s="23" t="n"/>
      <c r="H416" s="56">
        <f>IF(I416&lt;&gt;"",I416,IF(G416="","",IF(ROUND(MOD(G416,1),1)&lt;=0.4,INT(G416)-1,INT(G416))))</f>
        <v/>
      </c>
      <c r="I416" s="56" t="n"/>
      <c r="J416" s="57">
        <f>IF(H416="","",IF(LOWER(A416)="gl",H416-2,IF(H416&gt;=60,H416-5,IF(AND(H416&gt;=50,H416&lt;60),H416-4,IF(AND(H416&gt;=10,H416&lt;50),H416-3,H416)))))</f>
        <v/>
      </c>
      <c r="K416" s="57" t="n"/>
    </row>
    <row r="417" ht="15" customHeight="1">
      <c r="A417" s="10" t="n"/>
      <c r="B417" s="2" t="n">
        <v>414</v>
      </c>
      <c r="C417" s="3" t="n"/>
      <c r="D417" s="3" t="n"/>
      <c r="E417" s="2" t="n"/>
      <c r="F417" s="5">
        <f>IF(E417="","",E417*1000)</f>
        <v/>
      </c>
      <c r="G417" s="23" t="n"/>
      <c r="H417" s="56">
        <f>IF(I417&lt;&gt;"",I417,IF(G417="","",IF(ROUND(MOD(G417,1),1)&lt;=0.4,INT(G417)-1,INT(G417))))</f>
        <v/>
      </c>
      <c r="I417" s="56" t="n"/>
      <c r="J417" s="57">
        <f>IF(H417="","",IF(LOWER(A417)="gl",H417-2,IF(H417&gt;=60,H417-5,IF(AND(H417&gt;=50,H417&lt;60),H417-4,IF(AND(H417&gt;=10,H417&lt;50),H417-3,H417)))))</f>
        <v/>
      </c>
      <c r="K417" s="57" t="n"/>
    </row>
    <row r="418" ht="15" customHeight="1">
      <c r="A418" s="10" t="n"/>
      <c r="B418" s="2" t="n">
        <v>415</v>
      </c>
      <c r="C418" s="3" t="n"/>
      <c r="D418" s="3" t="n"/>
      <c r="E418" s="2" t="n"/>
      <c r="F418" s="5">
        <f>IF(E418="","",E418*1000)</f>
        <v/>
      </c>
      <c r="G418" s="23" t="n"/>
      <c r="H418" s="56">
        <f>IF(I418&lt;&gt;"",I418,IF(G418="","",IF(ROUND(MOD(G418,1),1)&lt;=0.4,INT(G418)-1,INT(G418))))</f>
        <v/>
      </c>
      <c r="I418" s="56" t="n"/>
      <c r="J418" s="57">
        <f>IF(H418="","",IF(LOWER(A418)="gl",H418-2,IF(H418&gt;=60,H418-5,IF(AND(H418&gt;=50,H418&lt;60),H418-4,IF(AND(H418&gt;=10,H418&lt;50),H418-3,H418)))))</f>
        <v/>
      </c>
      <c r="K418" s="57" t="n"/>
    </row>
    <row r="419" ht="15" customHeight="1">
      <c r="A419" s="10" t="n"/>
      <c r="B419" s="2" t="n">
        <v>416</v>
      </c>
      <c r="C419" s="3" t="n"/>
      <c r="D419" s="3" t="n"/>
      <c r="E419" s="2" t="n"/>
      <c r="F419" s="5">
        <f>IF(E419="","",E419*1000)</f>
        <v/>
      </c>
      <c r="G419" s="23" t="n"/>
      <c r="H419" s="56">
        <f>IF(I419&lt;&gt;"",I419,IF(G419="","",IF(ROUND(MOD(G419,1),1)&lt;=0.4,INT(G419)-1,INT(G419))))</f>
        <v/>
      </c>
      <c r="I419" s="56" t="n"/>
      <c r="J419" s="57">
        <f>IF(H419="","",IF(LOWER(A419)="gl",H419-2,IF(H419&gt;=60,H419-5,IF(AND(H419&gt;=50,H419&lt;60),H419-4,IF(AND(H419&gt;=10,H419&lt;50),H419-3,H419)))))</f>
        <v/>
      </c>
      <c r="K419" s="57" t="n"/>
    </row>
    <row r="420" ht="15" customHeight="1">
      <c r="A420" s="10" t="n"/>
      <c r="B420" s="2" t="n">
        <v>417</v>
      </c>
      <c r="C420" s="3" t="n"/>
      <c r="D420" s="3" t="n"/>
      <c r="E420" s="2" t="n"/>
      <c r="F420" s="5">
        <f>IF(E420="","",E420*1000)</f>
        <v/>
      </c>
      <c r="G420" s="23" t="n"/>
      <c r="H420" s="56">
        <f>IF(I420&lt;&gt;"",I420,IF(G420="","",IF(ROUND(MOD(G420,1),1)&lt;=0.4,INT(G420)-1,INT(G420))))</f>
        <v/>
      </c>
      <c r="I420" s="56" t="n"/>
      <c r="J420" s="57">
        <f>IF(H420="","",IF(LOWER(A420)="gl",H420-2,IF(H420&gt;=60,H420-5,IF(AND(H420&gt;=50,H420&lt;60),H420-4,IF(AND(H420&gt;=10,H420&lt;50),H420-3,H420)))))</f>
        <v/>
      </c>
      <c r="K420" s="57" t="n"/>
    </row>
    <row r="421" ht="15" customHeight="1">
      <c r="A421" s="10" t="n"/>
      <c r="B421" s="2" t="n">
        <v>418</v>
      </c>
      <c r="C421" s="3" t="n"/>
      <c r="D421" s="3" t="n"/>
      <c r="E421" s="2" t="n"/>
      <c r="F421" s="5">
        <f>IF(E421="","",E421*1000)</f>
        <v/>
      </c>
      <c r="G421" s="23" t="n"/>
      <c r="H421" s="56">
        <f>IF(I421&lt;&gt;"",I421,IF(G421="","",IF(ROUND(MOD(G421,1),1)&lt;=0.4,INT(G421)-1,INT(G421))))</f>
        <v/>
      </c>
      <c r="I421" s="56" t="n"/>
      <c r="J421" s="57">
        <f>IF(H421="","",IF(LOWER(A421)="gl",H421-2,IF(H421&gt;=60,H421-5,IF(AND(H421&gt;=50,H421&lt;60),H421-4,IF(AND(H421&gt;=10,H421&lt;50),H421-3,H421)))))</f>
        <v/>
      </c>
      <c r="K421" s="57" t="n"/>
    </row>
    <row r="422" ht="15" customHeight="1">
      <c r="A422" s="10" t="n"/>
      <c r="B422" s="2" t="n">
        <v>419</v>
      </c>
      <c r="C422" s="3" t="n"/>
      <c r="D422" s="3" t="n"/>
      <c r="E422" s="2" t="n"/>
      <c r="F422" s="5">
        <f>IF(E422="","",E422*1000)</f>
        <v/>
      </c>
      <c r="G422" s="23" t="n"/>
      <c r="H422" s="56">
        <f>IF(I422&lt;&gt;"",I422,IF(G422="","",IF(ROUND(MOD(G422,1),1)&lt;=0.4,INT(G422)-1,INT(G422))))</f>
        <v/>
      </c>
      <c r="I422" s="56" t="n"/>
      <c r="J422" s="57">
        <f>IF(H422="","",IF(LOWER(A422)="gl",H422-2,IF(H422&gt;=60,H422-5,IF(AND(H422&gt;=50,H422&lt;60),H422-4,IF(AND(H422&gt;=10,H422&lt;50),H422-3,H422)))))</f>
        <v/>
      </c>
      <c r="K422" s="57" t="n"/>
    </row>
    <row r="423" ht="15" customHeight="1">
      <c r="A423" s="10" t="n"/>
      <c r="B423" s="2" t="n">
        <v>420</v>
      </c>
      <c r="C423" s="3" t="n"/>
      <c r="D423" s="3" t="n"/>
      <c r="E423" s="2" t="n"/>
      <c r="F423" s="5">
        <f>IF(E423="","",E423*1000)</f>
        <v/>
      </c>
      <c r="G423" s="23" t="n"/>
      <c r="H423" s="56">
        <f>IF(I423&lt;&gt;"",I423,IF(G423="","",IF(ROUND(MOD(G423,1),1)&lt;=0.4,INT(G423)-1,INT(G423))))</f>
        <v/>
      </c>
      <c r="I423" s="56" t="n"/>
      <c r="J423" s="57">
        <f>IF(H423="","",IF(LOWER(A423)="gl",H423-2,IF(H423&gt;=60,H423-5,IF(AND(H423&gt;=50,H423&lt;60),H423-4,IF(AND(H423&gt;=10,H423&lt;50),H423-3,H423)))))</f>
        <v/>
      </c>
      <c r="K423" s="57" t="n"/>
    </row>
    <row r="424" ht="15" customHeight="1">
      <c r="A424" s="10" t="n"/>
      <c r="B424" s="2" t="n">
        <v>421</v>
      </c>
      <c r="C424" s="3" t="n"/>
      <c r="D424" s="3" t="n"/>
      <c r="E424" s="2" t="n"/>
      <c r="F424" s="5">
        <f>IF(E424="","",E424*1000)</f>
        <v/>
      </c>
      <c r="G424" s="23" t="n"/>
      <c r="H424" s="56">
        <f>IF(I424&lt;&gt;"",I424,IF(G424="","",IF(ROUND(MOD(G424,1),1)&lt;=0.4,INT(G424)-1,INT(G424))))</f>
        <v/>
      </c>
      <c r="I424" s="56" t="n"/>
      <c r="J424" s="57">
        <f>IF(H424="","",IF(LOWER(A424)="gl",H424-2,IF(H424&gt;=60,H424-5,IF(AND(H424&gt;=50,H424&lt;60),H424-4,IF(AND(H424&gt;=10,H424&lt;50),H424-3,H424)))))</f>
        <v/>
      </c>
      <c r="K424" s="57" t="n"/>
    </row>
    <row r="425" ht="15" customHeight="1">
      <c r="A425" s="10" t="n"/>
      <c r="B425" s="2" t="n">
        <v>422</v>
      </c>
      <c r="C425" s="3" t="n"/>
      <c r="D425" s="3" t="n"/>
      <c r="E425" s="2" t="n"/>
      <c r="F425" s="5">
        <f>IF(E425="","",E425*1000)</f>
        <v/>
      </c>
      <c r="G425" s="23" t="n"/>
      <c r="H425" s="56">
        <f>IF(I425&lt;&gt;"",I425,IF(G425="","",IF(ROUND(MOD(G425,1),1)&lt;=0.4,INT(G425)-1,INT(G425))))</f>
        <v/>
      </c>
      <c r="I425" s="56" t="n"/>
      <c r="J425" s="57">
        <f>IF(H425="","",IF(LOWER(A425)="gl",H425-2,IF(H425&gt;=60,H425-5,IF(AND(H425&gt;=50,H425&lt;60),H425-4,IF(AND(H425&gt;=10,H425&lt;50),H425-3,H425)))))</f>
        <v/>
      </c>
      <c r="K425" s="57" t="n"/>
    </row>
    <row r="426" ht="15" customHeight="1">
      <c r="A426" s="10" t="n"/>
      <c r="B426" s="2" t="n">
        <v>423</v>
      </c>
      <c r="C426" s="3" t="n"/>
      <c r="D426" s="3" t="n"/>
      <c r="E426" s="2" t="n"/>
      <c r="F426" s="5">
        <f>IF(E426="","",E426*1000)</f>
        <v/>
      </c>
      <c r="G426" s="23" t="n"/>
      <c r="H426" s="56">
        <f>IF(I426&lt;&gt;"",I426,IF(G426="","",IF(ROUND(MOD(G426,1),1)&lt;=0.4,INT(G426)-1,INT(G426))))</f>
        <v/>
      </c>
      <c r="I426" s="56" t="n"/>
      <c r="J426" s="57">
        <f>IF(H426="","",IF(LOWER(A426)="gl",H426-2,IF(H426&gt;=60,H426-5,IF(AND(H426&gt;=50,H426&lt;60),H426-4,IF(AND(H426&gt;=10,H426&lt;50),H426-3,H426)))))</f>
        <v/>
      </c>
      <c r="K426" s="57" t="n"/>
    </row>
    <row r="427" ht="15" customHeight="1">
      <c r="A427" s="10" t="n"/>
      <c r="B427" s="2" t="n">
        <v>424</v>
      </c>
      <c r="C427" s="3" t="n"/>
      <c r="D427" s="3" t="n"/>
      <c r="E427" s="2" t="n"/>
      <c r="F427" s="5">
        <f>IF(E427="","",E427*1000)</f>
        <v/>
      </c>
      <c r="G427" s="23" t="n"/>
      <c r="H427" s="56">
        <f>IF(I427&lt;&gt;"",I427,IF(G427="","",IF(ROUND(MOD(G427,1),1)&lt;=0.4,INT(G427)-1,INT(G427))))</f>
        <v/>
      </c>
      <c r="I427" s="56" t="n"/>
      <c r="J427" s="57">
        <f>IF(H427="","",IF(LOWER(A427)="gl",H427-2,IF(H427&gt;=60,H427-5,IF(AND(H427&gt;=50,H427&lt;60),H427-4,IF(AND(H427&gt;=10,H427&lt;50),H427-3,H427)))))</f>
        <v/>
      </c>
      <c r="K427" s="57" t="n"/>
    </row>
    <row r="428" ht="15" customHeight="1">
      <c r="A428" s="10" t="n"/>
      <c r="B428" s="2" t="n">
        <v>425</v>
      </c>
      <c r="C428" s="3" t="n"/>
      <c r="D428" s="3" t="n"/>
      <c r="E428" s="2" t="n"/>
      <c r="F428" s="5">
        <f>IF(E428="","",E428*1000)</f>
        <v/>
      </c>
      <c r="G428" s="23" t="n"/>
      <c r="H428" s="56">
        <f>IF(I428&lt;&gt;"",I428,IF(G428="","",IF(ROUND(MOD(G428,1),1)&lt;=0.4,INT(G428)-1,INT(G428))))</f>
        <v/>
      </c>
      <c r="I428" s="56" t="n"/>
      <c r="J428" s="57">
        <f>IF(H428="","",IF(LOWER(A428)="gl",H428-2,IF(H428&gt;=60,H428-5,IF(AND(H428&gt;=50,H428&lt;60),H428-4,IF(AND(H428&gt;=10,H428&lt;50),H428-3,H428)))))</f>
        <v/>
      </c>
      <c r="K428" s="57" t="n"/>
    </row>
    <row r="429" ht="15" customHeight="1">
      <c r="A429" s="10" t="n"/>
      <c r="B429" s="2" t="n">
        <v>426</v>
      </c>
      <c r="C429" s="3" t="n"/>
      <c r="D429" s="3" t="n"/>
      <c r="E429" s="2" t="n"/>
      <c r="F429" s="5">
        <f>IF(E429="","",E429*1000)</f>
        <v/>
      </c>
      <c r="G429" s="23" t="n"/>
      <c r="H429" s="56">
        <f>IF(I429&lt;&gt;"",I429,IF(G429="","",IF(ROUND(MOD(G429,1),1)&lt;=0.4,INT(G429)-1,INT(G429))))</f>
        <v/>
      </c>
      <c r="I429" s="56" t="n"/>
      <c r="J429" s="57">
        <f>IF(H429="","",IF(LOWER(A429)="gl",H429-2,IF(H429&gt;=60,H429-5,IF(AND(H429&gt;=50,H429&lt;60),H429-4,IF(AND(H429&gt;=10,H429&lt;50),H429-3,H429)))))</f>
        <v/>
      </c>
      <c r="K429" s="57" t="n"/>
    </row>
    <row r="430" ht="15" customHeight="1">
      <c r="A430" s="10" t="n"/>
      <c r="B430" s="2" t="n">
        <v>427</v>
      </c>
      <c r="C430" s="3" t="n"/>
      <c r="D430" s="3" t="n"/>
      <c r="E430" s="2" t="n"/>
      <c r="F430" s="5">
        <f>IF(E430="","",E430*1000)</f>
        <v/>
      </c>
      <c r="G430" s="23" t="n"/>
      <c r="H430" s="56">
        <f>IF(I430&lt;&gt;"",I430,IF(G430="","",IF(ROUND(MOD(G430,1),1)&lt;=0.4,INT(G430)-1,INT(G430))))</f>
        <v/>
      </c>
      <c r="I430" s="56" t="n"/>
      <c r="J430" s="57">
        <f>IF(H430="","",IF(LOWER(A430)="gl",H430-2,IF(H430&gt;=60,H430-5,IF(AND(H430&gt;=50,H430&lt;60),H430-4,IF(AND(H430&gt;=10,H430&lt;50),H430-3,H430)))))</f>
        <v/>
      </c>
      <c r="K430" s="57" t="n"/>
    </row>
    <row r="431" ht="15" customHeight="1">
      <c r="A431" s="10" t="n"/>
      <c r="B431" s="2" t="n">
        <v>428</v>
      </c>
      <c r="C431" s="3" t="n"/>
      <c r="D431" s="3" t="n"/>
      <c r="E431" s="2" t="n"/>
      <c r="F431" s="5">
        <f>IF(E431="","",E431*1000)</f>
        <v/>
      </c>
      <c r="G431" s="23" t="n"/>
      <c r="H431" s="56">
        <f>IF(I431&lt;&gt;"",I431,IF(G431="","",IF(ROUND(MOD(G431,1),1)&lt;=0.4,INT(G431)-1,INT(G431))))</f>
        <v/>
      </c>
      <c r="I431" s="56" t="n"/>
      <c r="J431" s="57">
        <f>IF(H431="","",IF(LOWER(A431)="gl",H431-2,IF(H431&gt;=60,H431-5,IF(AND(H431&gt;=50,H431&lt;60),H431-4,IF(AND(H431&gt;=10,H431&lt;50),H431-3,H431)))))</f>
        <v/>
      </c>
      <c r="K431" s="57" t="n"/>
    </row>
    <row r="432" ht="15" customHeight="1">
      <c r="A432" s="10" t="n"/>
      <c r="B432" s="2" t="n">
        <v>429</v>
      </c>
      <c r="C432" s="3" t="n"/>
      <c r="D432" s="3" t="n"/>
      <c r="E432" s="2" t="n"/>
      <c r="F432" s="5">
        <f>IF(E432="","",E432*1000)</f>
        <v/>
      </c>
      <c r="G432" s="23" t="n"/>
      <c r="H432" s="56">
        <f>IF(I432&lt;&gt;"",I432,IF(G432="","",IF(ROUND(MOD(G432,1),1)&lt;=0.4,INT(G432)-1,INT(G432))))</f>
        <v/>
      </c>
      <c r="I432" s="56" t="n"/>
      <c r="J432" s="57">
        <f>IF(H432="","",IF(LOWER(A432)="gl",H432-2,IF(H432&gt;=60,H432-5,IF(AND(H432&gt;=50,H432&lt;60),H432-4,IF(AND(H432&gt;=10,H432&lt;50),H432-3,H432)))))</f>
        <v/>
      </c>
      <c r="K432" s="57" t="n"/>
    </row>
    <row r="433" ht="15" customHeight="1">
      <c r="A433" s="10" t="n"/>
      <c r="B433" s="2" t="n">
        <v>430</v>
      </c>
      <c r="C433" s="3" t="n"/>
      <c r="D433" s="3" t="n"/>
      <c r="E433" s="2" t="n"/>
      <c r="F433" s="5">
        <f>IF(E433="","",E433*1000)</f>
        <v/>
      </c>
      <c r="G433" s="23" t="n"/>
      <c r="H433" s="56">
        <f>IF(I433&lt;&gt;"",I433,IF(G433="","",IF(ROUND(MOD(G433,1),1)&lt;=0.4,INT(G433)-1,INT(G433))))</f>
        <v/>
      </c>
      <c r="I433" s="56" t="n"/>
      <c r="J433" s="57">
        <f>IF(H433="","",IF(LOWER(A433)="gl",H433-2,IF(H433&gt;=60,H433-5,IF(AND(H433&gt;=50,H433&lt;60),H433-4,IF(AND(H433&gt;=10,H433&lt;50),H433-3,H433)))))</f>
        <v/>
      </c>
      <c r="K433" s="57" t="n"/>
    </row>
    <row r="434" ht="15" customHeight="1">
      <c r="A434" s="10" t="n"/>
      <c r="B434" s="2" t="n">
        <v>431</v>
      </c>
      <c r="C434" s="3" t="n"/>
      <c r="D434" s="3" t="n"/>
      <c r="E434" s="2" t="n"/>
      <c r="F434" s="5">
        <f>IF(E434="","",E434*1000)</f>
        <v/>
      </c>
      <c r="G434" s="23" t="n"/>
      <c r="H434" s="56">
        <f>IF(I434&lt;&gt;"",I434,IF(G434="","",IF(ROUND(MOD(G434,1),1)&lt;=0.4,INT(G434)-1,INT(G434))))</f>
        <v/>
      </c>
      <c r="I434" s="56" t="n"/>
      <c r="J434" s="57">
        <f>IF(H434="","",IF(LOWER(A434)="gl",H434-2,IF(H434&gt;=60,H434-5,IF(AND(H434&gt;=50,H434&lt;60),H434-4,IF(AND(H434&gt;=10,H434&lt;50),H434-3,H434)))))</f>
        <v/>
      </c>
      <c r="K434" s="57" t="n"/>
    </row>
    <row r="435" ht="15" customHeight="1">
      <c r="A435" s="10" t="n"/>
      <c r="B435" s="2" t="n">
        <v>432</v>
      </c>
      <c r="C435" s="3" t="n"/>
      <c r="D435" s="3" t="n"/>
      <c r="E435" s="2" t="n"/>
      <c r="F435" s="5">
        <f>IF(E435="","",E435*1000)</f>
        <v/>
      </c>
      <c r="G435" s="23" t="n"/>
      <c r="H435" s="56">
        <f>IF(I435&lt;&gt;"",I435,IF(G435="","",IF(ROUND(MOD(G435,1),1)&lt;=0.4,INT(G435)-1,INT(G435))))</f>
        <v/>
      </c>
      <c r="I435" s="56" t="n"/>
      <c r="J435" s="57">
        <f>IF(H435="","",IF(LOWER(A435)="gl",H435-2,IF(H435&gt;=60,H435-5,IF(AND(H435&gt;=50,H435&lt;60),H435-4,IF(AND(H435&gt;=10,H435&lt;50),H435-3,H435)))))</f>
        <v/>
      </c>
      <c r="K435" s="57" t="n"/>
    </row>
    <row r="436" ht="15" customHeight="1">
      <c r="A436" s="10" t="n"/>
      <c r="B436" s="2" t="n">
        <v>433</v>
      </c>
      <c r="C436" s="3" t="n"/>
      <c r="D436" s="3" t="n"/>
      <c r="E436" s="2" t="n"/>
      <c r="F436" s="5">
        <f>IF(E436="","",E436*1000)</f>
        <v/>
      </c>
      <c r="G436" s="23" t="n"/>
      <c r="H436" s="56">
        <f>IF(I436&lt;&gt;"",I436,IF(G436="","",IF(ROUND(MOD(G436,1),1)&lt;=0.4,INT(G436)-1,INT(G436))))</f>
        <v/>
      </c>
      <c r="I436" s="56" t="n"/>
      <c r="J436" s="57">
        <f>IF(H436="","",IF(LOWER(A436)="gl",H436-2,IF(H436&gt;=60,H436-5,IF(AND(H436&gt;=50,H436&lt;60),H436-4,IF(AND(H436&gt;=10,H436&lt;50),H436-3,H436)))))</f>
        <v/>
      </c>
      <c r="K436" s="57" t="n"/>
    </row>
    <row r="437" ht="15" customHeight="1">
      <c r="A437" s="10" t="n"/>
      <c r="B437" s="2" t="n">
        <v>434</v>
      </c>
      <c r="C437" s="3" t="n"/>
      <c r="D437" s="3" t="n"/>
      <c r="E437" s="2" t="n"/>
      <c r="F437" s="5">
        <f>IF(E437="","",E437*1000)</f>
        <v/>
      </c>
      <c r="G437" s="23" t="n"/>
      <c r="H437" s="56">
        <f>IF(I437&lt;&gt;"",I437,IF(G437="","",IF(ROUND(MOD(G437,1),1)&lt;=0.4,INT(G437)-1,INT(G437))))</f>
        <v/>
      </c>
      <c r="I437" s="56" t="n"/>
      <c r="J437" s="57">
        <f>IF(H437="","",IF(LOWER(A437)="gl",H437-2,IF(H437&gt;=60,H437-5,IF(AND(H437&gt;=50,H437&lt;60),H437-4,IF(AND(H437&gt;=10,H437&lt;50),H437-3,H437)))))</f>
        <v/>
      </c>
      <c r="K437" s="57" t="n"/>
    </row>
    <row r="438" ht="15" customHeight="1">
      <c r="A438" s="10" t="n"/>
      <c r="B438" s="2" t="n">
        <v>435</v>
      </c>
      <c r="C438" s="3" t="n"/>
      <c r="D438" s="3" t="n"/>
      <c r="E438" s="2" t="n"/>
      <c r="F438" s="5">
        <f>IF(E438="","",E438*1000)</f>
        <v/>
      </c>
      <c r="G438" s="23" t="n"/>
      <c r="H438" s="56">
        <f>IF(I438&lt;&gt;"",I438,IF(G438="","",IF(ROUND(MOD(G438,1),1)&lt;=0.4,INT(G438)-1,INT(G438))))</f>
        <v/>
      </c>
      <c r="I438" s="56" t="n"/>
      <c r="J438" s="57">
        <f>IF(H438="","",IF(LOWER(A438)="gl",H438-2,IF(H438&gt;=60,H438-5,IF(AND(H438&gt;=50,H438&lt;60),H438-4,IF(AND(H438&gt;=10,H438&lt;50),H438-3,H438)))))</f>
        <v/>
      </c>
      <c r="K438" s="57" t="n"/>
    </row>
    <row r="439" ht="15" customHeight="1">
      <c r="A439" s="10" t="n"/>
      <c r="B439" s="2" t="n">
        <v>436</v>
      </c>
      <c r="C439" s="3" t="n"/>
      <c r="D439" s="3" t="n"/>
      <c r="E439" s="2" t="n"/>
      <c r="F439" s="5">
        <f>IF(E439="","",E439*1000)</f>
        <v/>
      </c>
      <c r="G439" s="23" t="n"/>
      <c r="H439" s="56">
        <f>IF(I439&lt;&gt;"",I439,IF(G439="","",IF(ROUND(MOD(G439,1),1)&lt;=0.4,INT(G439)-1,INT(G439))))</f>
        <v/>
      </c>
      <c r="I439" s="56" t="n"/>
      <c r="J439" s="57">
        <f>IF(H439="","",IF(LOWER(A439)="gl",H439-2,IF(H439&gt;=60,H439-5,IF(AND(H439&gt;=50,H439&lt;60),H439-4,IF(AND(H439&gt;=10,H439&lt;50),H439-3,H439)))))</f>
        <v/>
      </c>
      <c r="K439" s="57" t="n"/>
    </row>
    <row r="440" ht="15" customHeight="1">
      <c r="A440" s="10" t="n"/>
      <c r="B440" s="2" t="n">
        <v>437</v>
      </c>
      <c r="C440" s="3" t="n"/>
      <c r="D440" s="3" t="n"/>
      <c r="E440" s="2" t="n"/>
      <c r="F440" s="5">
        <f>IF(E440="","",E440*1000)</f>
        <v/>
      </c>
      <c r="G440" s="23" t="n"/>
      <c r="H440" s="56">
        <f>IF(I440&lt;&gt;"",I440,IF(G440="","",IF(ROUND(MOD(G440,1),1)&lt;=0.4,INT(G440)-1,INT(G440))))</f>
        <v/>
      </c>
      <c r="I440" s="56" t="n"/>
      <c r="J440" s="57">
        <f>IF(H440="","",IF(LOWER(A440)="gl",H440-2,IF(H440&gt;=60,H440-5,IF(AND(H440&gt;=50,H440&lt;60),H440-4,IF(AND(H440&gt;=10,H440&lt;50),H440-3,H440)))))</f>
        <v/>
      </c>
      <c r="K440" s="57" t="n"/>
    </row>
    <row r="441" ht="15" customHeight="1">
      <c r="A441" s="10" t="n"/>
      <c r="B441" s="2" t="n">
        <v>438</v>
      </c>
      <c r="C441" s="3" t="n"/>
      <c r="D441" s="3" t="n"/>
      <c r="E441" s="2" t="n"/>
      <c r="F441" s="5">
        <f>IF(E441="","",E441*1000)</f>
        <v/>
      </c>
      <c r="G441" s="23" t="n"/>
      <c r="H441" s="56">
        <f>IF(I441&lt;&gt;"",I441,IF(G441="","",IF(ROUND(MOD(G441,1),1)&lt;=0.4,INT(G441)-1,INT(G441))))</f>
        <v/>
      </c>
      <c r="I441" s="56" t="n"/>
      <c r="J441" s="57">
        <f>IF(H441="","",IF(LOWER(A441)="gl",H441-2,IF(H441&gt;=60,H441-5,IF(AND(H441&gt;=50,H441&lt;60),H441-4,IF(AND(H441&gt;=10,H441&lt;50),H441-3,H441)))))</f>
        <v/>
      </c>
      <c r="K441" s="57" t="n"/>
    </row>
    <row r="442" ht="15" customHeight="1">
      <c r="A442" s="10" t="n"/>
      <c r="B442" s="2" t="n">
        <v>439</v>
      </c>
      <c r="C442" s="3" t="n"/>
      <c r="D442" s="3" t="n"/>
      <c r="E442" s="2" t="n"/>
      <c r="F442" s="5">
        <f>IF(E442="","",E442*1000)</f>
        <v/>
      </c>
      <c r="G442" s="23" t="n"/>
      <c r="H442" s="56">
        <f>IF(I442&lt;&gt;"",I442,IF(G442="","",IF(ROUND(MOD(G442,1),1)&lt;=0.4,INT(G442)-1,INT(G442))))</f>
        <v/>
      </c>
      <c r="I442" s="56" t="n"/>
      <c r="J442" s="57">
        <f>IF(H442="","",IF(LOWER(A442)="gl",H442-2,IF(H442&gt;=60,H442-5,IF(AND(H442&gt;=50,H442&lt;60),H442-4,IF(AND(H442&gt;=10,H442&lt;50),H442-3,H442)))))</f>
        <v/>
      </c>
      <c r="K442" s="57" t="n"/>
    </row>
    <row r="443" ht="15" customHeight="1">
      <c r="A443" s="10" t="n"/>
      <c r="B443" s="2" t="n">
        <v>440</v>
      </c>
      <c r="C443" s="3" t="n"/>
      <c r="D443" s="3" t="n"/>
      <c r="E443" s="2" t="n"/>
      <c r="F443" s="5">
        <f>IF(E443="","",E443*1000)</f>
        <v/>
      </c>
      <c r="G443" s="23" t="n"/>
      <c r="H443" s="56">
        <f>IF(I443&lt;&gt;"",I443,IF(G443="","",IF(ROUND(MOD(G443,1),1)&lt;=0.4,INT(G443)-1,INT(G443))))</f>
        <v/>
      </c>
      <c r="I443" s="56" t="n"/>
      <c r="J443" s="57">
        <f>IF(H443="","",IF(LOWER(A443)="gl",H443-2,IF(H443&gt;=60,H443-5,IF(AND(H443&gt;=50,H443&lt;60),H443-4,IF(AND(H443&gt;=10,H443&lt;50),H443-3,H443)))))</f>
        <v/>
      </c>
      <c r="K443" s="57" t="n"/>
    </row>
    <row r="444" ht="15" customHeight="1">
      <c r="A444" s="10" t="n"/>
      <c r="B444" s="2" t="n">
        <v>441</v>
      </c>
      <c r="C444" s="3" t="n"/>
      <c r="D444" s="3" t="n"/>
      <c r="E444" s="2" t="n"/>
      <c r="F444" s="5">
        <f>IF(E444="","",E444*1000)</f>
        <v/>
      </c>
      <c r="G444" s="23" t="n"/>
      <c r="H444" s="56">
        <f>IF(I444&lt;&gt;"",I444,IF(G444="","",IF(ROUND(MOD(G444,1),1)&lt;=0.4,INT(G444)-1,INT(G444))))</f>
        <v/>
      </c>
      <c r="I444" s="56" t="n"/>
      <c r="J444" s="57">
        <f>IF(H444="","",IF(LOWER(A444)="gl",H444-2,IF(H444&gt;=60,H444-5,IF(AND(H444&gt;=50,H444&lt;60),H444-4,IF(AND(H444&gt;=10,H444&lt;50),H444-3,H444)))))</f>
        <v/>
      </c>
      <c r="K444" s="57" t="n"/>
    </row>
    <row r="445" ht="15" customHeight="1">
      <c r="A445" s="10" t="n"/>
      <c r="B445" s="2" t="n">
        <v>442</v>
      </c>
      <c r="C445" s="3" t="n"/>
      <c r="D445" s="3" t="n"/>
      <c r="E445" s="2" t="n"/>
      <c r="F445" s="5">
        <f>IF(E445="","",E445*1000)</f>
        <v/>
      </c>
      <c r="G445" s="23" t="n"/>
      <c r="H445" s="56">
        <f>IF(I445&lt;&gt;"",I445,IF(G445="","",IF(ROUND(MOD(G445,1),1)&lt;=0.4,INT(G445)-1,INT(G445))))</f>
        <v/>
      </c>
      <c r="I445" s="56" t="n"/>
      <c r="J445" s="57">
        <f>IF(H445="","",IF(LOWER(A445)="gl",H445-2,IF(H445&gt;=60,H445-5,IF(AND(H445&gt;=50,H445&lt;60),H445-4,IF(AND(H445&gt;=10,H445&lt;50),H445-3,H445)))))</f>
        <v/>
      </c>
      <c r="K445" s="57" t="n"/>
    </row>
    <row r="446" ht="15" customHeight="1">
      <c r="A446" s="10" t="n"/>
      <c r="B446" s="2" t="n">
        <v>443</v>
      </c>
      <c r="C446" s="3" t="n"/>
      <c r="D446" s="3" t="n"/>
      <c r="E446" s="2" t="n"/>
      <c r="F446" s="5">
        <f>IF(E446="","",E446*1000)</f>
        <v/>
      </c>
      <c r="G446" s="23" t="n"/>
      <c r="H446" s="56">
        <f>IF(I446&lt;&gt;"",I446,IF(G446="","",IF(ROUND(MOD(G446,1),1)&lt;=0.4,INT(G446)-1,INT(G446))))</f>
        <v/>
      </c>
      <c r="I446" s="56" t="n"/>
      <c r="J446" s="57">
        <f>IF(H446="","",IF(LOWER(A446)="gl",H446-2,IF(H446&gt;=60,H446-5,IF(AND(H446&gt;=50,H446&lt;60),H446-4,IF(AND(H446&gt;=10,H446&lt;50),H446-3,H446)))))</f>
        <v/>
      </c>
      <c r="K446" s="57" t="n"/>
    </row>
    <row r="447" ht="15" customHeight="1">
      <c r="A447" s="10" t="n"/>
      <c r="B447" s="2" t="n">
        <v>444</v>
      </c>
      <c r="C447" s="3" t="n"/>
      <c r="D447" s="3" t="n"/>
      <c r="E447" s="2" t="n"/>
      <c r="F447" s="5">
        <f>IF(E447="","",E447*1000)</f>
        <v/>
      </c>
      <c r="G447" s="23" t="n"/>
      <c r="H447" s="56">
        <f>IF(I447&lt;&gt;"",I447,IF(G447="","",IF(ROUND(MOD(G447,1),1)&lt;=0.4,INT(G447)-1,INT(G447))))</f>
        <v/>
      </c>
      <c r="I447" s="56" t="n"/>
      <c r="J447" s="57">
        <f>IF(H447="","",IF(LOWER(A447)="gl",H447-2,IF(H447&gt;=60,H447-5,IF(AND(H447&gt;=50,H447&lt;60),H447-4,IF(AND(H447&gt;=10,H447&lt;50),H447-3,H447)))))</f>
        <v/>
      </c>
      <c r="K447" s="57" t="n"/>
    </row>
    <row r="448" ht="15" customHeight="1">
      <c r="A448" s="10" t="n"/>
      <c r="B448" s="2" t="n">
        <v>445</v>
      </c>
      <c r="C448" s="3" t="n"/>
      <c r="D448" s="3" t="n"/>
      <c r="E448" s="2" t="n"/>
      <c r="F448" s="5">
        <f>IF(E448="","",E448*1000)</f>
        <v/>
      </c>
      <c r="G448" s="23" t="n"/>
      <c r="H448" s="56">
        <f>IF(I448&lt;&gt;"",I448,IF(G448="","",IF(ROUND(MOD(G448,1),1)&lt;=0.4,INT(G448)-1,INT(G448))))</f>
        <v/>
      </c>
      <c r="I448" s="56" t="n"/>
      <c r="J448" s="57">
        <f>IF(H448="","",IF(LOWER(A448)="gl",H448-2,IF(H448&gt;=60,H448-5,IF(AND(H448&gt;=50,H448&lt;60),H448-4,IF(AND(H448&gt;=10,H448&lt;50),H448-3,H448)))))</f>
        <v/>
      </c>
      <c r="K448" s="57" t="n"/>
    </row>
    <row r="449" ht="15" customHeight="1">
      <c r="A449" s="10" t="n"/>
      <c r="B449" s="2" t="n">
        <v>446</v>
      </c>
      <c r="C449" s="3" t="n"/>
      <c r="D449" s="3" t="n"/>
      <c r="E449" s="2" t="n"/>
      <c r="F449" s="5">
        <f>IF(E449="","",E449*1000)</f>
        <v/>
      </c>
      <c r="G449" s="23" t="n"/>
      <c r="H449" s="56">
        <f>IF(I449&lt;&gt;"",I449,IF(G449="","",IF(ROUND(MOD(G449,1),1)&lt;=0.4,INT(G449)-1,INT(G449))))</f>
        <v/>
      </c>
      <c r="I449" s="56" t="n"/>
      <c r="J449" s="57">
        <f>IF(H449="","",IF(LOWER(A449)="gl",H449-2,IF(H449&gt;=60,H449-5,IF(AND(H449&gt;=50,H449&lt;60),H449-4,IF(AND(H449&gt;=10,H449&lt;50),H449-3,H449)))))</f>
        <v/>
      </c>
      <c r="K449" s="57" t="n"/>
    </row>
    <row r="450" ht="15" customHeight="1">
      <c r="A450" s="10" t="n"/>
      <c r="B450" s="2" t="n">
        <v>447</v>
      </c>
      <c r="C450" s="3" t="n"/>
      <c r="D450" s="3" t="n"/>
      <c r="E450" s="2" t="n"/>
      <c r="F450" s="5">
        <f>IF(E450="","",E450*1000)</f>
        <v/>
      </c>
      <c r="G450" s="23" t="n"/>
      <c r="H450" s="56">
        <f>IF(I450&lt;&gt;"",I450,IF(G450="","",IF(ROUND(MOD(G450,1),1)&lt;=0.4,INT(G450)-1,INT(G450))))</f>
        <v/>
      </c>
      <c r="I450" s="56" t="n"/>
      <c r="J450" s="57">
        <f>IF(H450="","",IF(LOWER(A450)="gl",H450-2,IF(H450&gt;=60,H450-5,IF(AND(H450&gt;=50,H450&lt;60),H450-4,IF(AND(H450&gt;=10,H450&lt;50),H450-3,H450)))))</f>
        <v/>
      </c>
      <c r="K450" s="57" t="n"/>
    </row>
    <row r="451" ht="15" customHeight="1">
      <c r="A451" s="10" t="n"/>
      <c r="B451" s="2" t="n">
        <v>448</v>
      </c>
      <c r="C451" s="3" t="n"/>
      <c r="D451" s="3" t="n"/>
      <c r="E451" s="2" t="n"/>
      <c r="F451" s="5">
        <f>IF(E451="","",E451*1000)</f>
        <v/>
      </c>
      <c r="G451" s="23" t="n"/>
      <c r="H451" s="56">
        <f>IF(I451&lt;&gt;"",I451,IF(G451="","",IF(ROUND(MOD(G451,1),1)&lt;=0.4,INT(G451)-1,INT(G451))))</f>
        <v/>
      </c>
      <c r="I451" s="56" t="n"/>
      <c r="J451" s="57">
        <f>IF(H451="","",IF(LOWER(A451)="gl",H451-2,IF(H451&gt;=60,H451-5,IF(AND(H451&gt;=50,H451&lt;60),H451-4,IF(AND(H451&gt;=10,H451&lt;50),H451-3,H451)))))</f>
        <v/>
      </c>
      <c r="K451" s="57" t="n"/>
    </row>
    <row r="452" ht="15" customHeight="1">
      <c r="A452" s="10" t="n"/>
      <c r="B452" s="2" t="n">
        <v>449</v>
      </c>
      <c r="C452" s="3" t="n"/>
      <c r="D452" s="3" t="n"/>
      <c r="E452" s="2" t="n"/>
      <c r="F452" s="5">
        <f>IF(E452="","",E452*1000)</f>
        <v/>
      </c>
      <c r="G452" s="23" t="n"/>
      <c r="H452" s="56">
        <f>IF(I452&lt;&gt;"",I452,IF(G452="","",IF(ROUND(MOD(G452,1),1)&lt;=0.4,INT(G452)-1,INT(G452))))</f>
        <v/>
      </c>
      <c r="I452" s="56" t="n"/>
      <c r="J452" s="57">
        <f>IF(H452="","",IF(LOWER(A452)="gl",H452-2,IF(H452&gt;=60,H452-5,IF(AND(H452&gt;=50,H452&lt;60),H452-4,IF(AND(H452&gt;=10,H452&lt;50),H452-3,H452)))))</f>
        <v/>
      </c>
      <c r="K452" s="57" t="n"/>
    </row>
    <row r="453" ht="15" customHeight="1">
      <c r="A453" s="10" t="n"/>
      <c r="B453" s="2" t="n">
        <v>450</v>
      </c>
      <c r="C453" s="3" t="n"/>
      <c r="D453" s="3" t="n"/>
      <c r="E453" s="2" t="n"/>
      <c r="F453" s="5">
        <f>IF(E453="","",E453*1000)</f>
        <v/>
      </c>
      <c r="G453" s="23" t="n"/>
      <c r="H453" s="56">
        <f>IF(I453&lt;&gt;"",I453,IF(G453="","",IF(ROUND(MOD(G453,1),1)&lt;=0.4,INT(G453)-1,INT(G453))))</f>
        <v/>
      </c>
      <c r="I453" s="56" t="n"/>
      <c r="J453" s="57">
        <f>IF(H453="","",IF(LOWER(A453)="gl",H453-2,IF(H453&gt;=60,H453-5,IF(AND(H453&gt;=50,H453&lt;60),H453-4,IF(AND(H453&gt;=10,H453&lt;50),H453-3,H453)))))</f>
        <v/>
      </c>
      <c r="K453" s="57" t="n"/>
    </row>
    <row r="454" ht="15" customHeight="1">
      <c r="A454" s="10" t="n"/>
      <c r="B454" s="2" t="n">
        <v>451</v>
      </c>
      <c r="C454" s="3" t="n"/>
      <c r="D454" s="3" t="n"/>
      <c r="E454" s="2" t="n"/>
      <c r="F454" s="5">
        <f>IF(E454="","",E454*1000)</f>
        <v/>
      </c>
      <c r="G454" s="23" t="n"/>
      <c r="H454" s="56">
        <f>IF(I454&lt;&gt;"",I454,IF(G454="","",IF(ROUND(MOD(G454,1),1)&lt;=0.4,INT(G454)-1,INT(G454))))</f>
        <v/>
      </c>
      <c r="I454" s="56" t="n"/>
      <c r="J454" s="57">
        <f>IF(H454="","",IF(LOWER(A454)="gl",H454-2,IF(H454&gt;=60,H454-5,IF(AND(H454&gt;=50,H454&lt;60),H454-4,IF(AND(H454&gt;=10,H454&lt;50),H454-3,H454)))))</f>
        <v/>
      </c>
      <c r="K454" s="57" t="n"/>
    </row>
    <row r="455" ht="15" customHeight="1">
      <c r="A455" s="10" t="n"/>
      <c r="B455" s="2" t="n">
        <v>452</v>
      </c>
      <c r="C455" s="3" t="n"/>
      <c r="D455" s="3" t="n"/>
      <c r="E455" s="2" t="n"/>
      <c r="F455" s="5">
        <f>IF(E455="","",E455*1000)</f>
        <v/>
      </c>
      <c r="G455" s="23" t="n"/>
      <c r="H455" s="56">
        <f>IF(I455&lt;&gt;"",I455,IF(G455="","",IF(ROUND(MOD(G455,1),1)&lt;=0.4,INT(G455)-1,INT(G455))))</f>
        <v/>
      </c>
      <c r="I455" s="56" t="n"/>
      <c r="J455" s="57">
        <f>IF(H455="","",IF(LOWER(A455)="gl",H455-2,IF(H455&gt;=60,H455-5,IF(AND(H455&gt;=50,H455&lt;60),H455-4,IF(AND(H455&gt;=10,H455&lt;50),H455-3,H455)))))</f>
        <v/>
      </c>
      <c r="K455" s="57" t="n"/>
    </row>
    <row r="456" ht="15" customHeight="1">
      <c r="A456" s="10" t="n"/>
      <c r="B456" s="2" t="n">
        <v>453</v>
      </c>
      <c r="C456" s="3" t="n"/>
      <c r="D456" s="3" t="n"/>
      <c r="E456" s="2" t="n"/>
      <c r="F456" s="5">
        <f>IF(E456="","",E456*1000)</f>
        <v/>
      </c>
      <c r="G456" s="23" t="n"/>
      <c r="H456" s="56">
        <f>IF(I456&lt;&gt;"",I456,IF(G456="","",IF(ROUND(MOD(G456,1),1)&lt;=0.4,INT(G456)-1,INT(G456))))</f>
        <v/>
      </c>
      <c r="I456" s="56" t="n"/>
      <c r="J456" s="57">
        <f>IF(H456="","",IF(LOWER(A456)="gl",H456-2,IF(H456&gt;=60,H456-5,IF(AND(H456&gt;=50,H456&lt;60),H456-4,IF(AND(H456&gt;=10,H456&lt;50),H456-3,H456)))))</f>
        <v/>
      </c>
      <c r="K456" s="57" t="n"/>
    </row>
    <row r="457" ht="15" customHeight="1">
      <c r="A457" s="10" t="n"/>
      <c r="B457" s="2" t="n">
        <v>454</v>
      </c>
      <c r="C457" s="3" t="n"/>
      <c r="D457" s="3" t="n"/>
      <c r="E457" s="2" t="n"/>
      <c r="F457" s="5">
        <f>IF(E457="","",E457*1000)</f>
        <v/>
      </c>
      <c r="G457" s="23" t="n"/>
      <c r="H457" s="56">
        <f>IF(I457&lt;&gt;"",I457,IF(G457="","",IF(ROUND(MOD(G457,1),1)&lt;=0.4,INT(G457)-1,INT(G457))))</f>
        <v/>
      </c>
      <c r="I457" s="56" t="n"/>
      <c r="J457" s="57">
        <f>IF(H457="","",IF(LOWER(A457)="gl",H457-2,IF(H457&gt;=60,H457-5,IF(AND(H457&gt;=50,H457&lt;60),H457-4,IF(AND(H457&gt;=10,H457&lt;50),H457-3,H457)))))</f>
        <v/>
      </c>
      <c r="K457" s="57" t="n"/>
    </row>
    <row r="458" ht="15" customHeight="1">
      <c r="A458" s="10" t="n"/>
      <c r="B458" s="2" t="n">
        <v>455</v>
      </c>
      <c r="C458" s="3" t="n"/>
      <c r="D458" s="3" t="n"/>
      <c r="E458" s="2" t="n"/>
      <c r="F458" s="5">
        <f>IF(E458="","",E458*1000)</f>
        <v/>
      </c>
      <c r="G458" s="23" t="n"/>
      <c r="H458" s="56">
        <f>IF(I458&lt;&gt;"",I458,IF(G458="","",IF(ROUND(MOD(G458,1),1)&lt;=0.4,INT(G458)-1,INT(G458))))</f>
        <v/>
      </c>
      <c r="I458" s="56" t="n"/>
      <c r="J458" s="57">
        <f>IF(H458="","",IF(LOWER(A458)="gl",H458-2,IF(H458&gt;=60,H458-5,IF(AND(H458&gt;=50,H458&lt;60),H458-4,IF(AND(H458&gt;=10,H458&lt;50),H458-3,H458)))))</f>
        <v/>
      </c>
      <c r="K458" s="57" t="n"/>
    </row>
    <row r="459" ht="15" customHeight="1">
      <c r="A459" s="10" t="n"/>
      <c r="B459" s="2" t="n">
        <v>456</v>
      </c>
      <c r="C459" s="3" t="n"/>
      <c r="D459" s="3" t="n"/>
      <c r="E459" s="2" t="n"/>
      <c r="F459" s="5">
        <f>IF(E459="","",E459*1000)</f>
        <v/>
      </c>
      <c r="G459" s="23" t="n"/>
      <c r="H459" s="56">
        <f>IF(I459&lt;&gt;"",I459,IF(G459="","",IF(ROUND(MOD(G459,1),1)&lt;=0.4,INT(G459)-1,INT(G459))))</f>
        <v/>
      </c>
      <c r="I459" s="56" t="n"/>
      <c r="J459" s="57">
        <f>IF(H459="","",IF(LOWER(A459)="gl",H459-2,IF(H459&gt;=60,H459-5,IF(AND(H459&gt;=50,H459&lt;60),H459-4,IF(AND(H459&gt;=10,H459&lt;50),H459-3,H459)))))</f>
        <v/>
      </c>
      <c r="K459" s="57" t="n"/>
    </row>
    <row r="460" ht="15" customHeight="1">
      <c r="A460" s="10" t="n"/>
      <c r="B460" s="2" t="n">
        <v>457</v>
      </c>
      <c r="C460" s="3" t="n"/>
      <c r="D460" s="3" t="n"/>
      <c r="E460" s="2" t="n"/>
      <c r="F460" s="5">
        <f>IF(E460="","",E460*1000)</f>
        <v/>
      </c>
      <c r="G460" s="23" t="n"/>
      <c r="H460" s="56">
        <f>IF(I460&lt;&gt;"",I460,IF(G460="","",IF(ROUND(MOD(G460,1),1)&lt;=0.4,INT(G460)-1,INT(G460))))</f>
        <v/>
      </c>
      <c r="I460" s="56" t="n"/>
      <c r="J460" s="57">
        <f>IF(H460="","",IF(LOWER(A460)="gl",H460-2,IF(H460&gt;=60,H460-5,IF(AND(H460&gt;=50,H460&lt;60),H460-4,IF(AND(H460&gt;=10,H460&lt;50),H460-3,H460)))))</f>
        <v/>
      </c>
      <c r="K460" s="57" t="n"/>
    </row>
    <row r="461" ht="15" customHeight="1">
      <c r="A461" s="10" t="n"/>
      <c r="B461" s="2" t="n">
        <v>458</v>
      </c>
      <c r="C461" s="3" t="n"/>
      <c r="D461" s="3" t="n"/>
      <c r="E461" s="2" t="n"/>
      <c r="F461" s="5">
        <f>IF(E461="","",E461*1000)</f>
        <v/>
      </c>
      <c r="G461" s="23" t="n"/>
      <c r="H461" s="56">
        <f>IF(I461&lt;&gt;"",I461,IF(G461="","",IF(ROUND(MOD(G461,1),1)&lt;=0.4,INT(G461)-1,INT(G461))))</f>
        <v/>
      </c>
      <c r="I461" s="56" t="n"/>
      <c r="J461" s="57">
        <f>IF(H461="","",IF(LOWER(A461)="gl",H461-2,IF(H461&gt;=60,H461-5,IF(AND(H461&gt;=50,H461&lt;60),H461-4,IF(AND(H461&gt;=10,H461&lt;50),H461-3,H461)))))</f>
        <v/>
      </c>
      <c r="K461" s="57" t="n"/>
    </row>
    <row r="462" ht="15" customHeight="1">
      <c r="A462" s="10" t="n"/>
      <c r="B462" s="2" t="n">
        <v>459</v>
      </c>
      <c r="C462" s="3" t="n"/>
      <c r="D462" s="3" t="n"/>
      <c r="E462" s="2" t="n"/>
      <c r="F462" s="5">
        <f>IF(E462="","",E462*1000)</f>
        <v/>
      </c>
      <c r="G462" s="23" t="n"/>
      <c r="H462" s="56">
        <f>IF(I462&lt;&gt;"",I462,IF(G462="","",IF(ROUND(MOD(G462,1),1)&lt;=0.4,INT(G462)-1,INT(G462))))</f>
        <v/>
      </c>
      <c r="I462" s="56" t="n"/>
      <c r="J462" s="57">
        <f>IF(H462="","",IF(LOWER(A462)="gl",H462-2,IF(H462&gt;=60,H462-5,IF(AND(H462&gt;=50,H462&lt;60),H462-4,IF(AND(H462&gt;=10,H462&lt;50),H462-3,H462)))))</f>
        <v/>
      </c>
      <c r="K462" s="57" t="n"/>
    </row>
    <row r="463" ht="15" customHeight="1">
      <c r="A463" s="10" t="n"/>
      <c r="B463" s="2" t="n">
        <v>460</v>
      </c>
      <c r="C463" s="3" t="n"/>
      <c r="D463" s="3" t="n"/>
      <c r="E463" s="2" t="n"/>
      <c r="F463" s="5">
        <f>IF(E463="","",E463*1000)</f>
        <v/>
      </c>
      <c r="G463" s="23" t="n"/>
      <c r="H463" s="56">
        <f>IF(I463&lt;&gt;"",I463,IF(G463="","",IF(ROUND(MOD(G463,1),1)&lt;=0.4,INT(G463)-1,INT(G463))))</f>
        <v/>
      </c>
      <c r="I463" s="56" t="n"/>
      <c r="J463" s="57">
        <f>IF(H463="","",IF(LOWER(A463)="gl",H463-2,IF(H463&gt;=60,H463-5,IF(AND(H463&gt;=50,H463&lt;60),H463-4,IF(AND(H463&gt;=10,H463&lt;50),H463-3,H463)))))</f>
        <v/>
      </c>
      <c r="K463" s="57" t="n"/>
    </row>
    <row r="464" ht="15" customHeight="1">
      <c r="A464" s="10" t="n"/>
      <c r="B464" s="2" t="n">
        <v>461</v>
      </c>
      <c r="C464" s="3" t="n"/>
      <c r="D464" s="3" t="n"/>
      <c r="E464" s="2" t="n"/>
      <c r="F464" s="5">
        <f>IF(E464="","",E464*1000)</f>
        <v/>
      </c>
      <c r="G464" s="23" t="n"/>
      <c r="H464" s="56">
        <f>IF(I464&lt;&gt;"",I464,IF(G464="","",IF(ROUND(MOD(G464,1),1)&lt;=0.4,INT(G464)-1,INT(G464))))</f>
        <v/>
      </c>
      <c r="I464" s="56" t="n"/>
      <c r="J464" s="57">
        <f>IF(H464="","",IF(LOWER(A464)="gl",H464-2,IF(H464&gt;=60,H464-5,IF(AND(H464&gt;=50,H464&lt;60),H464-4,IF(AND(H464&gt;=10,H464&lt;50),H464-3,H464)))))</f>
        <v/>
      </c>
      <c r="K464" s="57" t="n"/>
    </row>
    <row r="465" ht="15" customHeight="1">
      <c r="A465" s="10" t="n"/>
      <c r="B465" s="2" t="n">
        <v>462</v>
      </c>
      <c r="C465" s="3" t="n"/>
      <c r="D465" s="3" t="n"/>
      <c r="E465" s="2" t="n"/>
      <c r="F465" s="5">
        <f>IF(E465="","",E465*1000)</f>
        <v/>
      </c>
      <c r="G465" s="23" t="n"/>
      <c r="H465" s="56">
        <f>IF(I465&lt;&gt;"",I465,IF(G465="","",IF(ROUND(MOD(G465,1),1)&lt;=0.4,INT(G465)-1,INT(G465))))</f>
        <v/>
      </c>
      <c r="I465" s="56" t="n"/>
      <c r="J465" s="57">
        <f>IF(H465="","",IF(LOWER(A465)="gl",H465-2,IF(H465&gt;=60,H465-5,IF(AND(H465&gt;=50,H465&lt;60),H465-4,IF(AND(H465&gt;=10,H465&lt;50),H465-3,H465)))))</f>
        <v/>
      </c>
      <c r="K465" s="57" t="n"/>
    </row>
    <row r="466" ht="15" customHeight="1">
      <c r="A466" s="10" t="n"/>
      <c r="B466" s="2" t="n">
        <v>463</v>
      </c>
      <c r="C466" s="3" t="n"/>
      <c r="D466" s="3" t="n"/>
      <c r="E466" s="2" t="n"/>
      <c r="F466" s="5">
        <f>IF(E466="","",E466*1000)</f>
        <v/>
      </c>
      <c r="G466" s="23" t="n"/>
      <c r="H466" s="56">
        <f>IF(I466&lt;&gt;"",I466,IF(G466="","",IF(ROUND(MOD(G466,1),1)&lt;=0.4,INT(G466)-1,INT(G466))))</f>
        <v/>
      </c>
      <c r="I466" s="56" t="n"/>
      <c r="J466" s="57">
        <f>IF(H466="","",IF(LOWER(A466)="gl",H466-2,IF(H466&gt;=60,H466-5,IF(AND(H466&gt;=50,H466&lt;60),H466-4,IF(AND(H466&gt;=10,H466&lt;50),H466-3,H466)))))</f>
        <v/>
      </c>
      <c r="K466" s="57" t="n"/>
    </row>
    <row r="467" ht="15" customHeight="1">
      <c r="A467" s="10" t="n"/>
      <c r="B467" s="2" t="n">
        <v>464</v>
      </c>
      <c r="C467" s="3" t="n"/>
      <c r="D467" s="3" t="n"/>
      <c r="E467" s="2" t="n"/>
      <c r="F467" s="5">
        <f>IF(E467="","",E467*1000)</f>
        <v/>
      </c>
      <c r="G467" s="23" t="n"/>
      <c r="H467" s="56">
        <f>IF(I467&lt;&gt;"",I467,IF(G467="","",IF(ROUND(MOD(G467,1),1)&lt;=0.4,INT(G467)-1,INT(G467))))</f>
        <v/>
      </c>
      <c r="I467" s="56" t="n"/>
      <c r="J467" s="57">
        <f>IF(H467="","",IF(LOWER(A467)="gl",H467-2,IF(H467&gt;=60,H467-5,IF(AND(H467&gt;=50,H467&lt;60),H467-4,IF(AND(H467&gt;=10,H467&lt;50),H467-3,H467)))))</f>
        <v/>
      </c>
      <c r="K467" s="57" t="n"/>
    </row>
    <row r="468" ht="15" customHeight="1">
      <c r="A468" s="10" t="n"/>
      <c r="B468" s="2" t="n">
        <v>465</v>
      </c>
      <c r="C468" s="3" t="n"/>
      <c r="D468" s="3" t="n"/>
      <c r="E468" s="2" t="n"/>
      <c r="F468" s="5">
        <f>IF(E468="","",E468*1000)</f>
        <v/>
      </c>
      <c r="G468" s="23" t="n"/>
      <c r="H468" s="56">
        <f>IF(I468&lt;&gt;"",I468,IF(G468="","",IF(ROUND(MOD(G468,1),1)&lt;=0.4,INT(G468)-1,INT(G468))))</f>
        <v/>
      </c>
      <c r="I468" s="56" t="n"/>
      <c r="J468" s="57">
        <f>IF(H468="","",IF(LOWER(A468)="gl",H468-2,IF(H468&gt;=60,H468-5,IF(AND(H468&gt;=50,H468&lt;60),H468-4,IF(AND(H468&gt;=10,H468&lt;50),H468-3,H468)))))</f>
        <v/>
      </c>
      <c r="K468" s="57" t="n"/>
    </row>
    <row r="469" ht="15" customHeight="1">
      <c r="A469" s="10" t="n"/>
      <c r="B469" s="2" t="n">
        <v>466</v>
      </c>
      <c r="C469" s="3" t="n"/>
      <c r="D469" s="3" t="n"/>
      <c r="E469" s="2" t="n"/>
      <c r="F469" s="5">
        <f>IF(E469="","",E469*1000)</f>
        <v/>
      </c>
      <c r="G469" s="23" t="n"/>
      <c r="H469" s="56">
        <f>IF(I469&lt;&gt;"",I469,IF(G469="","",IF(ROUND(MOD(G469,1),1)&lt;=0.4,INT(G469)-1,INT(G469))))</f>
        <v/>
      </c>
      <c r="I469" s="56" t="n"/>
      <c r="J469" s="57">
        <f>IF(H469="","",IF(LOWER(A469)="gl",H469-2,IF(H469&gt;=60,H469-5,IF(AND(H469&gt;=50,H469&lt;60),H469-4,IF(AND(H469&gt;=10,H469&lt;50),H469-3,H469)))))</f>
        <v/>
      </c>
      <c r="K469" s="57" t="n"/>
    </row>
    <row r="470" ht="15" customHeight="1">
      <c r="A470" s="10" t="n"/>
      <c r="B470" s="2" t="n">
        <v>467</v>
      </c>
      <c r="C470" s="3" t="n"/>
      <c r="D470" s="3" t="n"/>
      <c r="E470" s="2" t="n"/>
      <c r="F470" s="5">
        <f>IF(E470="","",E470*1000)</f>
        <v/>
      </c>
      <c r="G470" s="23" t="n"/>
      <c r="H470" s="56">
        <f>IF(I470&lt;&gt;"",I470,IF(G470="","",IF(ROUND(MOD(G470,1),1)&lt;=0.4,INT(G470)-1,INT(G470))))</f>
        <v/>
      </c>
      <c r="I470" s="56" t="n"/>
      <c r="J470" s="57">
        <f>IF(H470="","",IF(LOWER(A470)="gl",H470-2,IF(H470&gt;=60,H470-5,IF(AND(H470&gt;=50,H470&lt;60),H470-4,IF(AND(H470&gt;=10,H470&lt;50),H470-3,H470)))))</f>
        <v/>
      </c>
      <c r="K470" s="57" t="n"/>
    </row>
    <row r="471" ht="15" customHeight="1">
      <c r="A471" s="10" t="n"/>
      <c r="B471" s="2" t="n">
        <v>468</v>
      </c>
      <c r="C471" s="3" t="n"/>
      <c r="D471" s="3" t="n"/>
      <c r="E471" s="2" t="n"/>
      <c r="F471" s="5">
        <f>IF(E471="","",E471*1000)</f>
        <v/>
      </c>
      <c r="G471" s="23" t="n"/>
      <c r="H471" s="56">
        <f>IF(I471&lt;&gt;"",I471,IF(G471="","",IF(ROUND(MOD(G471,1),1)&lt;=0.4,INT(G471)-1,INT(G471))))</f>
        <v/>
      </c>
      <c r="I471" s="56" t="n"/>
      <c r="J471" s="57">
        <f>IF(H471="","",IF(LOWER(A471)="gl",H471-2,IF(H471&gt;=60,H471-5,IF(AND(H471&gt;=50,H471&lt;60),H471-4,IF(AND(H471&gt;=10,H471&lt;50),H471-3,H471)))))</f>
        <v/>
      </c>
      <c r="K471" s="57" t="n"/>
    </row>
    <row r="472" ht="15" customHeight="1">
      <c r="A472" s="10" t="n"/>
      <c r="B472" s="2" t="n">
        <v>469</v>
      </c>
      <c r="C472" s="3" t="n"/>
      <c r="D472" s="3" t="n"/>
      <c r="E472" s="2" t="n"/>
      <c r="F472" s="5">
        <f>IF(E472="","",E472*1000)</f>
        <v/>
      </c>
      <c r="G472" s="23" t="n"/>
      <c r="H472" s="56">
        <f>IF(I472&lt;&gt;"",I472,IF(G472="","",IF(ROUND(MOD(G472,1),1)&lt;=0.4,INT(G472)-1,INT(G472))))</f>
        <v/>
      </c>
      <c r="I472" s="56" t="n"/>
      <c r="J472" s="57">
        <f>IF(H472="","",IF(LOWER(A472)="gl",H472-2,IF(H472&gt;=60,H472-5,IF(AND(H472&gt;=50,H472&lt;60),H472-4,IF(AND(H472&gt;=10,H472&lt;50),H472-3,H472)))))</f>
        <v/>
      </c>
      <c r="K472" s="57" t="n"/>
    </row>
    <row r="473" ht="15" customHeight="1">
      <c r="A473" s="10" t="n"/>
      <c r="B473" s="2" t="n">
        <v>470</v>
      </c>
      <c r="C473" s="3" t="n"/>
      <c r="D473" s="3" t="n"/>
      <c r="E473" s="2" t="n"/>
      <c r="F473" s="5">
        <f>IF(E473="","",E473*1000)</f>
        <v/>
      </c>
      <c r="G473" s="23" t="n"/>
      <c r="H473" s="56">
        <f>IF(I473&lt;&gt;"",I473,IF(G473="","",IF(ROUND(MOD(G473,1),1)&lt;=0.4,INT(G473)-1,INT(G473))))</f>
        <v/>
      </c>
      <c r="I473" s="56" t="n"/>
      <c r="J473" s="57">
        <f>IF(H473="","",IF(LOWER(A473)="gl",H473-2,IF(H473&gt;=60,H473-5,IF(AND(H473&gt;=50,H473&lt;60),H473-4,IF(AND(H473&gt;=10,H473&lt;50),H473-3,H473)))))</f>
        <v/>
      </c>
      <c r="K473" s="57" t="n"/>
    </row>
    <row r="474" ht="15" customHeight="1">
      <c r="A474" s="10" t="n"/>
      <c r="B474" s="2" t="n">
        <v>471</v>
      </c>
      <c r="C474" s="3" t="n"/>
      <c r="D474" s="3" t="n"/>
      <c r="E474" s="2" t="n"/>
      <c r="F474" s="5">
        <f>IF(E474="","",E474*1000)</f>
        <v/>
      </c>
      <c r="G474" s="23" t="n"/>
      <c r="H474" s="56">
        <f>IF(I474&lt;&gt;"",I474,IF(G474="","",IF(ROUND(MOD(G474,1),1)&lt;=0.4,INT(G474)-1,INT(G474))))</f>
        <v/>
      </c>
      <c r="I474" s="56" t="n"/>
      <c r="J474" s="57">
        <f>IF(H474="","",IF(LOWER(A474)="gl",H474-2,IF(H474&gt;=60,H474-5,IF(AND(H474&gt;=50,H474&lt;60),H474-4,IF(AND(H474&gt;=10,H474&lt;50),H474-3,H474)))))</f>
        <v/>
      </c>
      <c r="K474" s="57" t="n"/>
    </row>
    <row r="475" ht="15" customHeight="1">
      <c r="A475" s="10" t="n"/>
      <c r="B475" s="2" t="n">
        <v>472</v>
      </c>
      <c r="C475" s="3" t="n"/>
      <c r="D475" s="3" t="n"/>
      <c r="E475" s="2" t="n"/>
      <c r="F475" s="5">
        <f>IF(E475="","",E475*1000)</f>
        <v/>
      </c>
      <c r="G475" s="23" t="n"/>
      <c r="H475" s="56">
        <f>IF(I475&lt;&gt;"",I475,IF(G475="","",IF(ROUND(MOD(G475,1),1)&lt;=0.4,INT(G475)-1,INT(G475))))</f>
        <v/>
      </c>
      <c r="I475" s="56" t="n"/>
      <c r="J475" s="57">
        <f>IF(H475="","",IF(LOWER(A475)="gl",H475-2,IF(H475&gt;=60,H475-5,IF(AND(H475&gt;=50,H475&lt;60),H475-4,IF(AND(H475&gt;=10,H475&lt;50),H475-3,H475)))))</f>
        <v/>
      </c>
      <c r="K475" s="57" t="n"/>
    </row>
    <row r="476" ht="15" customHeight="1">
      <c r="A476" s="10" t="n"/>
      <c r="B476" s="2" t="n">
        <v>473</v>
      </c>
      <c r="C476" s="3" t="n"/>
      <c r="D476" s="3" t="n"/>
      <c r="E476" s="2" t="n"/>
      <c r="F476" s="5">
        <f>IF(E476="","",E476*1000)</f>
        <v/>
      </c>
      <c r="G476" s="23" t="n"/>
      <c r="H476" s="56">
        <f>IF(I476&lt;&gt;"",I476,IF(G476="","",IF(ROUND(MOD(G476,1),1)&lt;=0.4,INT(G476)-1,INT(G476))))</f>
        <v/>
      </c>
      <c r="I476" s="56" t="n"/>
      <c r="J476" s="57">
        <f>IF(H476="","",IF(LOWER(A476)="gl",H476-2,IF(H476&gt;=60,H476-5,IF(AND(H476&gt;=50,H476&lt;60),H476-4,IF(AND(H476&gt;=10,H476&lt;50),H476-3,H476)))))</f>
        <v/>
      </c>
      <c r="K476" s="57" t="n"/>
    </row>
    <row r="477" ht="15" customHeight="1">
      <c r="A477" s="10" t="n"/>
      <c r="B477" s="2" t="n">
        <v>474</v>
      </c>
      <c r="C477" s="3" t="n"/>
      <c r="D477" s="3" t="n"/>
      <c r="E477" s="2" t="n"/>
      <c r="F477" s="5">
        <f>IF(E477="","",E477*1000)</f>
        <v/>
      </c>
      <c r="G477" s="23" t="n"/>
      <c r="H477" s="56">
        <f>IF(I477&lt;&gt;"",I477,IF(G477="","",IF(ROUND(MOD(G477,1),1)&lt;=0.4,INT(G477)-1,INT(G477))))</f>
        <v/>
      </c>
      <c r="I477" s="56" t="n"/>
      <c r="J477" s="57">
        <f>IF(H477="","",IF(LOWER(A477)="gl",H477-2,IF(H477&gt;=60,H477-5,IF(AND(H477&gt;=50,H477&lt;60),H477-4,IF(AND(H477&gt;=10,H477&lt;50),H477-3,H477)))))</f>
        <v/>
      </c>
      <c r="K477" s="57" t="n"/>
    </row>
    <row r="478" ht="15" customHeight="1">
      <c r="A478" s="10" t="n"/>
      <c r="B478" s="2" t="n">
        <v>475</v>
      </c>
      <c r="C478" s="3" t="n"/>
      <c r="D478" s="3" t="n"/>
      <c r="E478" s="2" t="n"/>
      <c r="F478" s="5">
        <f>IF(E478="","",E478*1000)</f>
        <v/>
      </c>
      <c r="G478" s="23" t="n"/>
      <c r="H478" s="56">
        <f>IF(I478&lt;&gt;"",I478,IF(G478="","",IF(ROUND(MOD(G478,1),1)&lt;=0.4,INT(G478)-1,INT(G478))))</f>
        <v/>
      </c>
      <c r="I478" s="56" t="n"/>
      <c r="J478" s="57">
        <f>IF(H478="","",IF(LOWER(A478)="gl",H478-2,IF(H478&gt;=60,H478-5,IF(AND(H478&gt;=50,H478&lt;60),H478-4,IF(AND(H478&gt;=10,H478&lt;50),H478-3,H478)))))</f>
        <v/>
      </c>
      <c r="K478" s="57" t="n"/>
    </row>
    <row r="479" ht="15" customHeight="1">
      <c r="A479" s="10" t="n"/>
      <c r="B479" s="2" t="n">
        <v>476</v>
      </c>
      <c r="C479" s="3" t="n"/>
      <c r="D479" s="3" t="n"/>
      <c r="E479" s="2" t="n"/>
      <c r="F479" s="5">
        <f>IF(E479="","",E479*1000)</f>
        <v/>
      </c>
      <c r="G479" s="23" t="n"/>
      <c r="H479" s="56">
        <f>IF(I479&lt;&gt;"",I479,IF(G479="","",IF(ROUND(MOD(G479,1),1)&lt;=0.4,INT(G479)-1,INT(G479))))</f>
        <v/>
      </c>
      <c r="I479" s="56" t="n"/>
      <c r="J479" s="57">
        <f>IF(H479="","",IF(LOWER(A479)="gl",H479-2,IF(H479&gt;=60,H479-5,IF(AND(H479&gt;=50,H479&lt;60),H479-4,IF(AND(H479&gt;=10,H479&lt;50),H479-3,H479)))))</f>
        <v/>
      </c>
      <c r="K479" s="57" t="n"/>
    </row>
    <row r="480" ht="15" customHeight="1">
      <c r="A480" s="10" t="n"/>
      <c r="B480" s="2" t="n">
        <v>477</v>
      </c>
      <c r="C480" s="3" t="n"/>
      <c r="D480" s="3" t="n"/>
      <c r="E480" s="2" t="n"/>
      <c r="F480" s="5">
        <f>IF(E480="","",E480*1000)</f>
        <v/>
      </c>
      <c r="G480" s="23" t="n"/>
      <c r="H480" s="56">
        <f>IF(I480&lt;&gt;"",I480,IF(G480="","",IF(ROUND(MOD(G480,1),1)&lt;=0.4,INT(G480)-1,INT(G480))))</f>
        <v/>
      </c>
      <c r="I480" s="56" t="n"/>
      <c r="J480" s="57">
        <f>IF(H480="","",IF(LOWER(A480)="gl",H480-2,IF(H480&gt;=60,H480-5,IF(AND(H480&gt;=50,H480&lt;60),H480-4,IF(AND(H480&gt;=10,H480&lt;50),H480-3,H480)))))</f>
        <v/>
      </c>
      <c r="K480" s="57" t="n"/>
    </row>
    <row r="481" ht="15" customHeight="1">
      <c r="A481" s="10" t="n"/>
      <c r="B481" s="2" t="n">
        <v>478</v>
      </c>
      <c r="C481" s="3" t="n"/>
      <c r="D481" s="3" t="n"/>
      <c r="E481" s="2" t="n"/>
      <c r="F481" s="5">
        <f>IF(E481="","",E481*1000)</f>
        <v/>
      </c>
      <c r="G481" s="23" t="n"/>
      <c r="H481" s="56">
        <f>IF(I481&lt;&gt;"",I481,IF(G481="","",IF(ROUND(MOD(G481,1),1)&lt;=0.4,INT(G481)-1,INT(G481))))</f>
        <v/>
      </c>
      <c r="I481" s="56" t="n"/>
      <c r="J481" s="57">
        <f>IF(H481="","",IF(LOWER(A481)="gl",H481-2,IF(H481&gt;=60,H481-5,IF(AND(H481&gt;=50,H481&lt;60),H481-4,IF(AND(H481&gt;=10,H481&lt;50),H481-3,H481)))))</f>
        <v/>
      </c>
      <c r="K481" s="57" t="n"/>
    </row>
    <row r="482" ht="15" customHeight="1">
      <c r="A482" s="10" t="n"/>
      <c r="B482" s="2" t="n">
        <v>479</v>
      </c>
      <c r="C482" s="3" t="n"/>
      <c r="D482" s="3" t="n"/>
      <c r="E482" s="2" t="n"/>
      <c r="F482" s="5">
        <f>IF(E482="","",E482*1000)</f>
        <v/>
      </c>
      <c r="G482" s="23" t="n"/>
      <c r="H482" s="56">
        <f>IF(I482&lt;&gt;"",I482,IF(G482="","",IF(ROUND(MOD(G482,1),1)&lt;=0.4,INT(G482)-1,INT(G482))))</f>
        <v/>
      </c>
      <c r="I482" s="56" t="n"/>
      <c r="J482" s="57">
        <f>IF(H482="","",IF(LOWER(A482)="gl",H482-2,IF(H482&gt;=60,H482-5,IF(AND(H482&gt;=50,H482&lt;60),H482-4,IF(AND(H482&gt;=10,H482&lt;50),H482-3,H482)))))</f>
        <v/>
      </c>
      <c r="K482" s="57" t="n"/>
    </row>
    <row r="483" ht="15" customHeight="1">
      <c r="A483" s="10" t="n"/>
      <c r="B483" s="2" t="n">
        <v>480</v>
      </c>
      <c r="C483" s="3" t="n"/>
      <c r="D483" s="3" t="n"/>
      <c r="E483" s="2" t="n"/>
      <c r="F483" s="5">
        <f>IF(E483="","",E483*1000)</f>
        <v/>
      </c>
      <c r="G483" s="23" t="n"/>
      <c r="H483" s="56">
        <f>IF(I483&lt;&gt;"",I483,IF(G483="","",IF(ROUND(MOD(G483,1),1)&lt;=0.4,INT(G483)-1,INT(G483))))</f>
        <v/>
      </c>
      <c r="I483" s="56" t="n"/>
      <c r="J483" s="57">
        <f>IF(H483="","",IF(LOWER(A483)="gl",H483-2,IF(H483&gt;=60,H483-5,IF(AND(H483&gt;=50,H483&lt;60),H483-4,IF(AND(H483&gt;=10,H483&lt;50),H483-3,H483)))))</f>
        <v/>
      </c>
      <c r="K483" s="57" t="n"/>
    </row>
    <row r="484" ht="15" customHeight="1">
      <c r="A484" s="10" t="n"/>
      <c r="B484" s="2" t="n">
        <v>481</v>
      </c>
      <c r="C484" s="3" t="n"/>
      <c r="D484" s="3" t="n"/>
      <c r="E484" s="2" t="n"/>
      <c r="F484" s="5">
        <f>IF(E484="","",E484*1000)</f>
        <v/>
      </c>
      <c r="G484" s="23" t="n"/>
      <c r="H484" s="56">
        <f>IF(I484&lt;&gt;"",I484,IF(G484="","",IF(ROUND(MOD(G484,1),1)&lt;=0.4,INT(G484)-1,INT(G484))))</f>
        <v/>
      </c>
      <c r="I484" s="56" t="n"/>
      <c r="J484" s="57">
        <f>IF(H484="","",IF(LOWER(A484)="gl",H484-2,IF(H484&gt;=60,H484-5,IF(AND(H484&gt;=50,H484&lt;60),H484-4,IF(AND(H484&gt;=10,H484&lt;50),H484-3,H484)))))</f>
        <v/>
      </c>
      <c r="K484" s="57" t="n"/>
    </row>
    <row r="485" ht="15" customHeight="1">
      <c r="A485" s="10" t="n"/>
      <c r="B485" s="2" t="n">
        <v>482</v>
      </c>
      <c r="C485" s="3" t="n"/>
      <c r="D485" s="3" t="n"/>
      <c r="E485" s="2" t="n"/>
      <c r="F485" s="5">
        <f>IF(E485="","",E485*1000)</f>
        <v/>
      </c>
      <c r="G485" s="23" t="n"/>
      <c r="H485" s="56">
        <f>IF(I485&lt;&gt;"",I485,IF(G485="","",IF(ROUND(MOD(G485,1),1)&lt;=0.4,INT(G485)-1,INT(G485))))</f>
        <v/>
      </c>
      <c r="I485" s="56" t="n"/>
      <c r="J485" s="57">
        <f>IF(H485="","",IF(LOWER(A485)="gl",H485-2,IF(H485&gt;=60,H485-5,IF(AND(H485&gt;=50,H485&lt;60),H485-4,IF(AND(H485&gt;=10,H485&lt;50),H485-3,H485)))))</f>
        <v/>
      </c>
      <c r="K485" s="57" t="n"/>
    </row>
    <row r="486" ht="15" customHeight="1">
      <c r="A486" s="10" t="n"/>
      <c r="B486" s="2" t="n">
        <v>483</v>
      </c>
      <c r="C486" s="3" t="n"/>
      <c r="D486" s="3" t="n"/>
      <c r="E486" s="2" t="n"/>
      <c r="F486" s="5">
        <f>IF(E486="","",E486*1000)</f>
        <v/>
      </c>
      <c r="G486" s="23" t="n"/>
      <c r="H486" s="56">
        <f>IF(I486&lt;&gt;"",I486,IF(G486="","",IF(ROUND(MOD(G486,1),1)&lt;=0.4,INT(G486)-1,INT(G486))))</f>
        <v/>
      </c>
      <c r="I486" s="56" t="n"/>
      <c r="J486" s="57">
        <f>IF(H486="","",IF(LOWER(A486)="gl",H486-2,IF(H486&gt;=60,H486-5,IF(AND(H486&gt;=50,H486&lt;60),H486-4,IF(AND(H486&gt;=10,H486&lt;50),H486-3,H486)))))</f>
        <v/>
      </c>
      <c r="K486" s="57" t="n"/>
    </row>
    <row r="487" ht="15" customHeight="1">
      <c r="A487" s="10" t="n"/>
      <c r="B487" s="2" t="n">
        <v>484</v>
      </c>
      <c r="C487" s="3" t="n"/>
      <c r="D487" s="3" t="n"/>
      <c r="E487" s="2" t="n"/>
      <c r="F487" s="5">
        <f>IF(E487="","",E487*1000)</f>
        <v/>
      </c>
      <c r="G487" s="23" t="n"/>
      <c r="H487" s="56">
        <f>IF(I487&lt;&gt;"",I487,IF(G487="","",IF(ROUND(MOD(G487,1),1)&lt;=0.4,INT(G487)-1,INT(G487))))</f>
        <v/>
      </c>
      <c r="I487" s="56" t="n"/>
      <c r="J487" s="57">
        <f>IF(H487="","",IF(LOWER(A487)="gl",H487-2,IF(H487&gt;=60,H487-5,IF(AND(H487&gt;=50,H487&lt;60),H487-4,IF(AND(H487&gt;=10,H487&lt;50),H487-3,H487)))))</f>
        <v/>
      </c>
      <c r="K487" s="57" t="n"/>
    </row>
    <row r="488" ht="15" customHeight="1">
      <c r="A488" s="10" t="n"/>
      <c r="B488" s="2" t="n">
        <v>485</v>
      </c>
      <c r="C488" s="3" t="n"/>
      <c r="D488" s="3" t="n"/>
      <c r="E488" s="2" t="n"/>
      <c r="F488" s="5">
        <f>IF(E488="","",E488*1000)</f>
        <v/>
      </c>
      <c r="G488" s="23" t="n"/>
      <c r="H488" s="56">
        <f>IF(I488&lt;&gt;"",I488,IF(G488="","",IF(ROUND(MOD(G488,1),1)&lt;=0.4,INT(G488)-1,INT(G488))))</f>
        <v/>
      </c>
      <c r="I488" s="56" t="n"/>
      <c r="J488" s="57">
        <f>IF(H488="","",IF(LOWER(A488)="gl",H488-2,IF(H488&gt;=60,H488-5,IF(AND(H488&gt;=50,H488&lt;60),H488-4,IF(AND(H488&gt;=10,H488&lt;50),H488-3,H488)))))</f>
        <v/>
      </c>
      <c r="K488" s="57" t="n"/>
    </row>
    <row r="489" ht="15" customHeight="1">
      <c r="A489" s="10" t="n"/>
      <c r="B489" s="2" t="n">
        <v>486</v>
      </c>
      <c r="C489" s="3" t="n"/>
      <c r="D489" s="3" t="n"/>
      <c r="E489" s="2" t="n"/>
      <c r="F489" s="5">
        <f>IF(E489="","",E489*1000)</f>
        <v/>
      </c>
      <c r="G489" s="23" t="n"/>
      <c r="H489" s="56">
        <f>IF(I489&lt;&gt;"",I489,IF(G489="","",IF(ROUND(MOD(G489,1),1)&lt;=0.4,INT(G489)-1,INT(G489))))</f>
        <v/>
      </c>
      <c r="I489" s="56" t="n"/>
      <c r="J489" s="57">
        <f>IF(H489="","",IF(LOWER(A489)="gl",H489-2,IF(H489&gt;=60,H489-5,IF(AND(H489&gt;=50,H489&lt;60),H489-4,IF(AND(H489&gt;=10,H489&lt;50),H489-3,H489)))))</f>
        <v/>
      </c>
      <c r="K489" s="57" t="n"/>
    </row>
    <row r="490" ht="15" customHeight="1">
      <c r="A490" s="10" t="n"/>
      <c r="B490" s="2" t="n">
        <v>487</v>
      </c>
      <c r="C490" s="3" t="n"/>
      <c r="D490" s="3" t="n"/>
      <c r="E490" s="2" t="n"/>
      <c r="F490" s="5">
        <f>IF(E490="","",E490*1000)</f>
        <v/>
      </c>
      <c r="G490" s="23" t="n"/>
      <c r="H490" s="56">
        <f>IF(I490&lt;&gt;"",I490,IF(G490="","",IF(ROUND(MOD(G490,1),1)&lt;=0.4,INT(G490)-1,INT(G490))))</f>
        <v/>
      </c>
      <c r="I490" s="56" t="n"/>
      <c r="J490" s="57">
        <f>IF(H490="","",IF(LOWER(A490)="gl",H490-2,IF(H490&gt;=60,H490-5,IF(AND(H490&gt;=50,H490&lt;60),H490-4,IF(AND(H490&gt;=10,H490&lt;50),H490-3,H490)))))</f>
        <v/>
      </c>
      <c r="K490" s="57" t="n"/>
    </row>
    <row r="491" ht="15" customHeight="1">
      <c r="A491" s="10" t="n"/>
      <c r="B491" s="2" t="n">
        <v>488</v>
      </c>
      <c r="C491" s="3" t="n"/>
      <c r="D491" s="3" t="n"/>
      <c r="E491" s="2" t="n"/>
      <c r="F491" s="5">
        <f>IF(E491="","",E491*1000)</f>
        <v/>
      </c>
      <c r="G491" s="23" t="n"/>
      <c r="H491" s="56">
        <f>IF(I491&lt;&gt;"",I491,IF(G491="","",IF(ROUND(MOD(G491,1),1)&lt;=0.4,INT(G491)-1,INT(G491))))</f>
        <v/>
      </c>
      <c r="I491" s="56" t="n"/>
      <c r="J491" s="57">
        <f>IF(H491="","",IF(LOWER(A491)="gl",H491-2,IF(H491&gt;=60,H491-5,IF(AND(H491&gt;=50,H491&lt;60),H491-4,IF(AND(H491&gt;=10,H491&lt;50),H491-3,H491)))))</f>
        <v/>
      </c>
      <c r="K491" s="57" t="n"/>
    </row>
    <row r="492" ht="15" customHeight="1">
      <c r="A492" s="10" t="n"/>
      <c r="B492" s="2" t="n">
        <v>489</v>
      </c>
      <c r="C492" s="3" t="n"/>
      <c r="D492" s="3" t="n"/>
      <c r="E492" s="2" t="n"/>
      <c r="F492" s="5">
        <f>IF(E492="","",E492*1000)</f>
        <v/>
      </c>
      <c r="G492" s="23" t="n"/>
      <c r="H492" s="56">
        <f>IF(I492&lt;&gt;"",I492,IF(G492="","",IF(ROUND(MOD(G492,1),1)&lt;=0.4,INT(G492)-1,INT(G492))))</f>
        <v/>
      </c>
      <c r="I492" s="56" t="n"/>
      <c r="J492" s="57">
        <f>IF(H492="","",IF(LOWER(A492)="gl",H492-2,IF(H492&gt;=60,H492-5,IF(AND(H492&gt;=50,H492&lt;60),H492-4,IF(AND(H492&gt;=10,H492&lt;50),H492-3,H492)))))</f>
        <v/>
      </c>
      <c r="K492" s="57" t="n"/>
    </row>
    <row r="493" ht="15" customHeight="1">
      <c r="A493" s="10" t="n"/>
      <c r="B493" s="2" t="n">
        <v>490</v>
      </c>
      <c r="C493" s="3" t="n"/>
      <c r="D493" s="3" t="n"/>
      <c r="E493" s="2" t="n"/>
      <c r="F493" s="5">
        <f>IF(E493="","",E493*1000)</f>
        <v/>
      </c>
      <c r="G493" s="23" t="n"/>
      <c r="H493" s="56">
        <f>IF(I493&lt;&gt;"",I493,IF(G493="","",IF(ROUND(MOD(G493,1),1)&lt;=0.4,INT(G493)-1,INT(G493))))</f>
        <v/>
      </c>
      <c r="I493" s="56" t="n"/>
      <c r="J493" s="57">
        <f>IF(H493="","",IF(LOWER(A493)="gl",H493-2,IF(H493&gt;=60,H493-5,IF(AND(H493&gt;=50,H493&lt;60),H493-4,IF(AND(H493&gt;=10,H493&lt;50),H493-3,H493)))))</f>
        <v/>
      </c>
      <c r="K493" s="57" t="n"/>
    </row>
    <row r="494" ht="15" customHeight="1">
      <c r="A494" s="10" t="n"/>
      <c r="B494" s="2" t="n">
        <v>491</v>
      </c>
      <c r="C494" s="3" t="n"/>
      <c r="D494" s="3" t="n"/>
      <c r="E494" s="2" t="n"/>
      <c r="F494" s="5">
        <f>IF(E494="","",E494*1000)</f>
        <v/>
      </c>
      <c r="G494" s="23" t="n"/>
      <c r="H494" s="56">
        <f>IF(I494&lt;&gt;"",I494,IF(G494="","",IF(ROUND(MOD(G494,1),1)&lt;=0.4,INT(G494)-1,INT(G494))))</f>
        <v/>
      </c>
      <c r="I494" s="56" t="n"/>
      <c r="J494" s="57">
        <f>IF(H494="","",IF(LOWER(A494)="gl",H494-2,IF(H494&gt;=60,H494-5,IF(AND(H494&gt;=50,H494&lt;60),H494-4,IF(AND(H494&gt;=10,H494&lt;50),H494-3,H494)))))</f>
        <v/>
      </c>
      <c r="K494" s="57" t="n"/>
    </row>
    <row r="495" ht="15" customHeight="1">
      <c r="A495" s="10" t="n"/>
      <c r="B495" s="2" t="n">
        <v>492</v>
      </c>
      <c r="C495" s="3" t="n"/>
      <c r="D495" s="3" t="n"/>
      <c r="E495" s="2" t="n"/>
      <c r="F495" s="5">
        <f>IF(E495="","",E495*1000)</f>
        <v/>
      </c>
      <c r="G495" s="23" t="n"/>
      <c r="H495" s="56">
        <f>IF(I495&lt;&gt;"",I495,IF(G495="","",IF(ROUND(MOD(G495,1),1)&lt;=0.4,INT(G495)-1,INT(G495))))</f>
        <v/>
      </c>
      <c r="I495" s="56" t="n"/>
      <c r="J495" s="57">
        <f>IF(H495="","",IF(LOWER(A495)="gl",H495-2,IF(H495&gt;=60,H495-5,IF(AND(H495&gt;=50,H495&lt;60),H495-4,IF(AND(H495&gt;=10,H495&lt;50),H495-3,H495)))))</f>
        <v/>
      </c>
      <c r="K495" s="57" t="n"/>
    </row>
    <row r="496" ht="15" customHeight="1">
      <c r="A496" s="10" t="n"/>
      <c r="B496" s="2" t="n">
        <v>493</v>
      </c>
      <c r="C496" s="3" t="n"/>
      <c r="D496" s="3" t="n"/>
      <c r="E496" s="2" t="n"/>
      <c r="F496" s="5">
        <f>IF(E496="","",E496*1000)</f>
        <v/>
      </c>
      <c r="G496" s="23" t="n"/>
      <c r="H496" s="56">
        <f>IF(I496&lt;&gt;"",I496,IF(G496="","",IF(ROUND(MOD(G496,1),1)&lt;=0.4,INT(G496)-1,INT(G496))))</f>
        <v/>
      </c>
      <c r="I496" s="56" t="n"/>
      <c r="J496" s="57">
        <f>IF(H496="","",IF(LOWER(A496)="gl",H496-2,IF(H496&gt;=60,H496-5,IF(AND(H496&gt;=50,H496&lt;60),H496-4,IF(AND(H496&gt;=10,H496&lt;50),H496-3,H496)))))</f>
        <v/>
      </c>
      <c r="K496" s="57" t="n"/>
    </row>
    <row r="497" ht="15" customHeight="1">
      <c r="A497" s="10" t="n"/>
      <c r="B497" s="2" t="n">
        <v>494</v>
      </c>
      <c r="C497" s="3" t="n"/>
      <c r="D497" s="3" t="n"/>
      <c r="E497" s="2" t="n"/>
      <c r="F497" s="5">
        <f>IF(E497="","",E497*1000)</f>
        <v/>
      </c>
      <c r="G497" s="23" t="n"/>
      <c r="H497" s="56">
        <f>IF(I497&lt;&gt;"",I497,IF(G497="","",IF(ROUND(MOD(G497,1),1)&lt;=0.4,INT(G497)-1,INT(G497))))</f>
        <v/>
      </c>
      <c r="I497" s="56" t="n"/>
      <c r="J497" s="57">
        <f>IF(H497="","",IF(LOWER(A497)="gl",H497-2,IF(H497&gt;=60,H497-5,IF(AND(H497&gt;=50,H497&lt;60),H497-4,IF(AND(H497&gt;=10,H497&lt;50),H497-3,H497)))))</f>
        <v/>
      </c>
      <c r="K497" s="57" t="n"/>
    </row>
    <row r="498" ht="15" customHeight="1">
      <c r="A498" s="10" t="n"/>
      <c r="B498" s="2" t="n">
        <v>495</v>
      </c>
      <c r="C498" s="3" t="n"/>
      <c r="D498" s="3" t="n"/>
      <c r="E498" s="2" t="n"/>
      <c r="F498" s="5">
        <f>IF(E498="","",E498*1000)</f>
        <v/>
      </c>
      <c r="G498" s="23" t="n"/>
      <c r="H498" s="56">
        <f>IF(I498&lt;&gt;"",I498,IF(G498="","",IF(ROUND(MOD(G498,1),1)&lt;=0.4,INT(G498)-1,INT(G498))))</f>
        <v/>
      </c>
      <c r="I498" s="56" t="n"/>
      <c r="J498" s="57">
        <f>IF(H498="","",IF(LOWER(A498)="gl",H498-2,IF(H498&gt;=60,H498-5,IF(AND(H498&gt;=50,H498&lt;60),H498-4,IF(AND(H498&gt;=10,H498&lt;50),H498-3,H498)))))</f>
        <v/>
      </c>
      <c r="K498" s="57" t="n"/>
    </row>
    <row r="499" ht="15" customHeight="1">
      <c r="A499" s="10" t="n"/>
      <c r="B499" s="2" t="n">
        <v>496</v>
      </c>
      <c r="C499" s="3" t="n"/>
      <c r="D499" s="3" t="n"/>
      <c r="E499" s="2" t="n"/>
      <c r="F499" s="5">
        <f>IF(E499="","",E499*1000)</f>
        <v/>
      </c>
      <c r="G499" s="23" t="n"/>
      <c r="H499" s="56">
        <f>IF(I499&lt;&gt;"",I499,IF(G499="","",IF(ROUND(MOD(G499,1),1)&lt;=0.4,INT(G499)-1,INT(G499))))</f>
        <v/>
      </c>
      <c r="I499" s="56" t="n"/>
      <c r="J499" s="57">
        <f>IF(H499="","",IF(LOWER(A499)="gl",H499-2,IF(H499&gt;=60,H499-5,IF(AND(H499&gt;=50,H499&lt;60),H499-4,IF(AND(H499&gt;=10,H499&lt;50),H499-3,H499)))))</f>
        <v/>
      </c>
      <c r="K499" s="57" t="n"/>
    </row>
    <row r="500" ht="15" customHeight="1">
      <c r="A500" s="10" t="n"/>
      <c r="B500" s="2" t="n">
        <v>497</v>
      </c>
      <c r="C500" s="3" t="n"/>
      <c r="D500" s="3" t="n"/>
      <c r="E500" s="2" t="n"/>
      <c r="F500" s="5">
        <f>IF(E500="","",E500*1000)</f>
        <v/>
      </c>
      <c r="G500" s="23" t="n"/>
      <c r="H500" s="56">
        <f>IF(I500&lt;&gt;"",I500,IF(G500="","",IF(ROUND(MOD(G500,1),1)&lt;=0.4,INT(G500)-1,INT(G500))))</f>
        <v/>
      </c>
      <c r="I500" s="56" t="n"/>
      <c r="J500" s="57">
        <f>IF(H500="","",IF(LOWER(A500)="gl",H500-2,IF(H500&gt;=60,H500-5,IF(AND(H500&gt;=50,H500&lt;60),H500-4,IF(AND(H500&gt;=10,H500&lt;50),H500-3,H500)))))</f>
        <v/>
      </c>
      <c r="K500" s="57" t="n"/>
    </row>
    <row r="501" ht="15" customHeight="1">
      <c r="A501" s="10" t="n"/>
      <c r="B501" s="2" t="n">
        <v>498</v>
      </c>
      <c r="C501" s="3" t="n"/>
      <c r="D501" s="3" t="n"/>
      <c r="E501" s="2" t="n"/>
      <c r="F501" s="5">
        <f>IF(E501="","",E501*1000)</f>
        <v/>
      </c>
      <c r="G501" s="23" t="n"/>
      <c r="H501" s="56">
        <f>IF(I501&lt;&gt;"",I501,IF(G501="","",IF(ROUND(MOD(G501,1),1)&lt;=0.4,INT(G501)-1,INT(G501))))</f>
        <v/>
      </c>
      <c r="I501" s="56" t="n"/>
      <c r="J501" s="57">
        <f>IF(H501="","",IF(LOWER(A501)="gl",H501-2,IF(H501&gt;=60,H501-5,IF(AND(H501&gt;=50,H501&lt;60),H501-4,IF(AND(H501&gt;=10,H501&lt;50),H501-3,H501)))))</f>
        <v/>
      </c>
      <c r="K501" s="57" t="n"/>
    </row>
    <row r="502" ht="15" customHeight="1">
      <c r="A502" s="10" t="n"/>
      <c r="B502" s="2" t="n">
        <v>499</v>
      </c>
      <c r="C502" s="3" t="n"/>
      <c r="D502" s="3" t="n"/>
      <c r="E502" s="2" t="n"/>
      <c r="F502" s="5">
        <f>IF(E502="","",E502*1000)</f>
        <v/>
      </c>
      <c r="G502" s="23" t="n"/>
      <c r="H502" s="56">
        <f>IF(I502&lt;&gt;"",I502,IF(G502="","",IF(ROUND(MOD(G502,1),1)&lt;=0.4,INT(G502)-1,INT(G502))))</f>
        <v/>
      </c>
      <c r="I502" s="56" t="n"/>
      <c r="J502" s="57">
        <f>IF(H502="","",IF(LOWER(A502)="gl",H502-2,IF(H502&gt;=60,H502-5,IF(AND(H502&gt;=50,H502&lt;60),H502-4,IF(AND(H502&gt;=10,H502&lt;50),H502-3,H502)))))</f>
        <v/>
      </c>
      <c r="K502" s="57" t="n"/>
    </row>
    <row r="503" ht="15" customHeight="1">
      <c r="A503" s="10" t="n"/>
      <c r="B503" s="2" t="n">
        <v>500</v>
      </c>
      <c r="C503" s="3" t="n"/>
      <c r="D503" s="3" t="n"/>
      <c r="E503" s="2" t="n"/>
      <c r="F503" s="5">
        <f>IF(E503="","",E503*1000)</f>
        <v/>
      </c>
      <c r="G503" s="23" t="n"/>
      <c r="H503" s="56">
        <f>IF(I503&lt;&gt;"",I503,IF(G503="","",IF(ROUND(MOD(G503,1),1)&lt;=0.4,INT(G503)-1,INT(G503))))</f>
        <v/>
      </c>
      <c r="I503" s="56" t="n"/>
      <c r="J503" s="57">
        <f>IF(H503="","",IF(LOWER(A503)="gl",H503-2,IF(H503&gt;=60,H503-5,IF(AND(H503&gt;=50,H503&lt;60),H503-4,IF(AND(H503&gt;=10,H503&lt;50),H503-3,H503)))))</f>
        <v/>
      </c>
      <c r="K503" s="57" t="n"/>
    </row>
    <row r="504" ht="15" customHeight="1">
      <c r="A504" s="10" t="n"/>
      <c r="B504" s="2" t="n">
        <v>501</v>
      </c>
      <c r="C504" s="3" t="n"/>
      <c r="D504" s="3" t="n"/>
      <c r="E504" s="2" t="n"/>
      <c r="F504" s="5">
        <f>IF(E504="","",E504*1000)</f>
        <v/>
      </c>
      <c r="G504" s="23" t="n"/>
      <c r="H504" s="56">
        <f>IF(I504&lt;&gt;"",I504,IF(G504="","",IF(ROUND(MOD(G504,1),1)&lt;=0.4,INT(G504)-1,INT(G504))))</f>
        <v/>
      </c>
      <c r="I504" s="56" t="n"/>
      <c r="J504" s="57">
        <f>IF(H504="","",IF(LOWER(A504)="gl",H504-2,IF(H504&gt;=60,H504-5,IF(AND(H504&gt;=50,H504&lt;60),H504-4,IF(AND(H504&gt;=10,H504&lt;50),H504-3,H504)))))</f>
        <v/>
      </c>
      <c r="K504" s="57" t="n"/>
    </row>
    <row r="505" ht="15" customHeight="1">
      <c r="A505" s="10" t="n"/>
      <c r="B505" s="2" t="n">
        <v>502</v>
      </c>
      <c r="C505" s="3" t="n"/>
      <c r="D505" s="3" t="n"/>
      <c r="E505" s="2" t="n"/>
      <c r="F505" s="5">
        <f>IF(E505="","",E505*1000)</f>
        <v/>
      </c>
      <c r="G505" s="23" t="n"/>
      <c r="H505" s="56">
        <f>IF(I505&lt;&gt;"",I505,IF(G505="","",IF(ROUND(MOD(G505,1),1)&lt;=0.4,INT(G505)-1,INT(G505))))</f>
        <v/>
      </c>
      <c r="I505" s="56" t="n"/>
      <c r="J505" s="57">
        <f>IF(H505="","",IF(LOWER(A505)="gl",H505-2,IF(H505&gt;=60,H505-5,IF(AND(H505&gt;=50,H505&lt;60),H505-4,IF(AND(H505&gt;=10,H505&lt;50),H505-3,H505)))))</f>
        <v/>
      </c>
      <c r="K505" s="57" t="n"/>
    </row>
    <row r="506" ht="15" customHeight="1">
      <c r="A506" s="10" t="n"/>
      <c r="B506" s="2" t="n">
        <v>503</v>
      </c>
      <c r="C506" s="3" t="n"/>
      <c r="D506" s="3" t="n"/>
      <c r="E506" s="2" t="n"/>
      <c r="F506" s="5">
        <f>IF(E506="","",E506*1000)</f>
        <v/>
      </c>
      <c r="G506" s="23" t="n"/>
      <c r="H506" s="56">
        <f>IF(I506&lt;&gt;"",I506,IF(G506="","",IF(ROUND(MOD(G506,1),1)&lt;=0.4,INT(G506)-1,INT(G506))))</f>
        <v/>
      </c>
      <c r="I506" s="56" t="n"/>
      <c r="J506" s="57">
        <f>IF(H506="","",IF(LOWER(A506)="gl",H506-2,IF(H506&gt;=60,H506-5,IF(AND(H506&gt;=50,H506&lt;60),H506-4,IF(AND(H506&gt;=10,H506&lt;50),H506-3,H506)))))</f>
        <v/>
      </c>
      <c r="K506" s="57" t="n"/>
    </row>
    <row r="507" ht="15" customHeight="1">
      <c r="A507" s="10" t="n"/>
      <c r="B507" s="2" t="n">
        <v>504</v>
      </c>
      <c r="C507" s="3" t="n"/>
      <c r="D507" s="3" t="n"/>
      <c r="E507" s="2" t="n"/>
      <c r="F507" s="5">
        <f>IF(E507="","",E507*1000)</f>
        <v/>
      </c>
      <c r="G507" s="23" t="n"/>
      <c r="H507" s="56">
        <f>IF(I507&lt;&gt;"",I507,IF(G507="","",IF(ROUND(MOD(G507,1),1)&lt;=0.4,INT(G507)-1,INT(G507))))</f>
        <v/>
      </c>
      <c r="I507" s="56" t="n"/>
      <c r="J507" s="57">
        <f>IF(H507="","",IF(LOWER(A507)="gl",H507-2,IF(H507&gt;=60,H507-5,IF(AND(H507&gt;=50,H507&lt;60),H507-4,IF(AND(H507&gt;=10,H507&lt;50),H507-3,H507)))))</f>
        <v/>
      </c>
      <c r="K507" s="57" t="n"/>
    </row>
    <row r="508" ht="15" customHeight="1">
      <c r="A508" s="10" t="n"/>
      <c r="B508" s="2" t="n">
        <v>505</v>
      </c>
      <c r="C508" s="3" t="n"/>
      <c r="D508" s="3" t="n"/>
      <c r="E508" s="2" t="n"/>
      <c r="F508" s="5">
        <f>IF(E508="","",E508*1000)</f>
        <v/>
      </c>
      <c r="G508" s="23" t="n"/>
      <c r="H508" s="56">
        <f>IF(I508&lt;&gt;"",I508,IF(G508="","",IF(ROUND(MOD(G508,1),1)&lt;=0.4,INT(G508)-1,INT(G508))))</f>
        <v/>
      </c>
      <c r="I508" s="56" t="n"/>
      <c r="J508" s="57">
        <f>IF(H508="","",IF(LOWER(A508)="gl",H508-2,IF(H508&gt;=60,H508-5,IF(AND(H508&gt;=50,H508&lt;60),H508-4,IF(AND(H508&gt;=10,H508&lt;50),H508-3,H508)))))</f>
        <v/>
      </c>
      <c r="K508" s="57" t="n"/>
    </row>
    <row r="509" ht="15" customHeight="1">
      <c r="A509" s="10" t="n"/>
      <c r="B509" s="2" t="n">
        <v>506</v>
      </c>
      <c r="C509" s="3" t="n"/>
      <c r="D509" s="3" t="n"/>
      <c r="E509" s="2" t="n"/>
      <c r="F509" s="5">
        <f>IF(E509="","",E509*1000)</f>
        <v/>
      </c>
      <c r="G509" s="23" t="n"/>
      <c r="H509" s="56">
        <f>IF(I509&lt;&gt;"",I509,IF(G509="","",IF(ROUND(MOD(G509,1),1)&lt;=0.4,INT(G509)-1,INT(G509))))</f>
        <v/>
      </c>
      <c r="I509" s="56" t="n"/>
      <c r="J509" s="57">
        <f>IF(H509="","",IF(LOWER(A509)="gl",H509-2,IF(H509&gt;=60,H509-5,IF(AND(H509&gt;=50,H509&lt;60),H509-4,IF(AND(H509&gt;=10,H509&lt;50),H509-3,H509)))))</f>
        <v/>
      </c>
      <c r="K509" s="57" t="n"/>
    </row>
    <row r="510" ht="15" customHeight="1">
      <c r="A510" s="10" t="n"/>
      <c r="B510" s="2" t="n">
        <v>507</v>
      </c>
      <c r="C510" s="3" t="n"/>
      <c r="D510" s="3" t="n"/>
      <c r="E510" s="2" t="n"/>
      <c r="F510" s="5">
        <f>IF(E510="","",E510*1000)</f>
        <v/>
      </c>
      <c r="G510" s="23" t="n"/>
      <c r="H510" s="56">
        <f>IF(I510&lt;&gt;"",I510,IF(G510="","",IF(ROUND(MOD(G510,1),1)&lt;=0.4,INT(G510)-1,INT(G510))))</f>
        <v/>
      </c>
      <c r="I510" s="56" t="n"/>
      <c r="J510" s="57">
        <f>IF(H510="","",IF(LOWER(A510)="gl",H510-2,IF(H510&gt;=60,H510-5,IF(AND(H510&gt;=50,H510&lt;60),H510-4,IF(AND(H510&gt;=10,H510&lt;50),H510-3,H510)))))</f>
        <v/>
      </c>
      <c r="K510" s="57" t="n"/>
    </row>
    <row r="511" ht="15" customHeight="1">
      <c r="A511" s="10" t="n"/>
      <c r="B511" s="2" t="n">
        <v>508</v>
      </c>
      <c r="C511" s="3" t="n"/>
      <c r="D511" s="3" t="n"/>
      <c r="E511" s="2" t="n"/>
      <c r="F511" s="5">
        <f>IF(E511="","",E511*1000)</f>
        <v/>
      </c>
      <c r="G511" s="23" t="n"/>
      <c r="H511" s="56">
        <f>IF(I511&lt;&gt;"",I511,IF(G511="","",IF(ROUND(MOD(G511,1),1)&lt;=0.4,INT(G511)-1,INT(G511))))</f>
        <v/>
      </c>
      <c r="I511" s="56" t="n"/>
      <c r="J511" s="57">
        <f>IF(H511="","",IF(LOWER(A511)="gl",H511-2,IF(H511&gt;=60,H511-5,IF(AND(H511&gt;=50,H511&lt;60),H511-4,IF(AND(H511&gt;=10,H511&lt;50),H511-3,H511)))))</f>
        <v/>
      </c>
      <c r="K511" s="57" t="n"/>
    </row>
    <row r="512" ht="15" customHeight="1">
      <c r="A512" s="10" t="n"/>
      <c r="B512" s="2" t="n">
        <v>509</v>
      </c>
      <c r="C512" s="3" t="n"/>
      <c r="D512" s="3" t="n"/>
      <c r="E512" s="2" t="n"/>
      <c r="F512" s="5">
        <f>IF(E512="","",E512*1000)</f>
        <v/>
      </c>
      <c r="G512" s="23" t="n"/>
      <c r="H512" s="56">
        <f>IF(I512&lt;&gt;"",I512,IF(G512="","",IF(ROUND(MOD(G512,1),1)&lt;=0.4,INT(G512)-1,INT(G512))))</f>
        <v/>
      </c>
      <c r="I512" s="56" t="n"/>
      <c r="J512" s="57">
        <f>IF(H512="","",IF(LOWER(A512)="gl",H512-2,IF(H512&gt;=60,H512-5,IF(AND(H512&gt;=50,H512&lt;60),H512-4,IF(AND(H512&gt;=10,H512&lt;50),H512-3,H512)))))</f>
        <v/>
      </c>
      <c r="K512" s="57" t="n"/>
    </row>
    <row r="513" ht="15" customHeight="1">
      <c r="A513" s="10" t="n"/>
      <c r="B513" s="2" t="n">
        <v>510</v>
      </c>
      <c r="C513" s="3" t="n"/>
      <c r="D513" s="3" t="n"/>
      <c r="E513" s="2" t="n"/>
      <c r="F513" s="5">
        <f>IF(E513="","",E513*1000)</f>
        <v/>
      </c>
      <c r="G513" s="23" t="n"/>
      <c r="H513" s="56">
        <f>IF(I513&lt;&gt;"",I513,IF(G513="","",IF(ROUND(MOD(G513,1),1)&lt;=0.4,INT(G513)-1,INT(G513))))</f>
        <v/>
      </c>
      <c r="I513" s="56" t="n"/>
      <c r="J513" s="57">
        <f>IF(H513="","",IF(LOWER(A513)="gl",H513-2,IF(H513&gt;=60,H513-5,IF(AND(H513&gt;=50,H513&lt;60),H513-4,IF(AND(H513&gt;=10,H513&lt;50),H513-3,H513)))))</f>
        <v/>
      </c>
      <c r="K513" s="57" t="n"/>
    </row>
    <row r="514" ht="15" customHeight="1">
      <c r="A514" s="10" t="n"/>
      <c r="B514" s="2" t="n">
        <v>511</v>
      </c>
      <c r="C514" s="3" t="n"/>
      <c r="D514" s="3" t="n"/>
      <c r="E514" s="2" t="n"/>
      <c r="F514" s="5">
        <f>IF(E514="","",E514*1000)</f>
        <v/>
      </c>
      <c r="G514" s="23" t="n"/>
      <c r="H514" s="56">
        <f>IF(I514&lt;&gt;"",I514,IF(G514="","",IF(ROUND(MOD(G514,1),1)&lt;=0.4,INT(G514)-1,INT(G514))))</f>
        <v/>
      </c>
      <c r="I514" s="56" t="n"/>
      <c r="J514" s="57">
        <f>IF(H514="","",IF(LOWER(A514)="gl",H514-2,IF(H514&gt;=60,H514-5,IF(AND(H514&gt;=50,H514&lt;60),H514-4,IF(AND(H514&gt;=10,H514&lt;50),H514-3,H514)))))</f>
        <v/>
      </c>
      <c r="K514" s="57" t="n"/>
    </row>
    <row r="515" ht="15" customHeight="1">
      <c r="A515" s="10" t="n"/>
      <c r="B515" s="2" t="n">
        <v>512</v>
      </c>
      <c r="C515" s="3" t="n"/>
      <c r="D515" s="3" t="n"/>
      <c r="E515" s="2" t="n"/>
      <c r="F515" s="5">
        <f>IF(E515="","",E515*1000)</f>
        <v/>
      </c>
      <c r="G515" s="23" t="n"/>
      <c r="H515" s="56">
        <f>IF(I515&lt;&gt;"",I515,IF(G515="","",IF(ROUND(MOD(G515,1),1)&lt;=0.4,INT(G515)-1,INT(G515))))</f>
        <v/>
      </c>
      <c r="I515" s="56" t="n"/>
      <c r="J515" s="57">
        <f>IF(H515="","",IF(LOWER(A515)="gl",H515-2,IF(H515&gt;=60,H515-5,IF(AND(H515&gt;=50,H515&lt;60),H515-4,IF(AND(H515&gt;=10,H515&lt;50),H515-3,H515)))))</f>
        <v/>
      </c>
      <c r="K515" s="57" t="n"/>
    </row>
    <row r="516" ht="15" customHeight="1">
      <c r="A516" s="10" t="n"/>
      <c r="B516" s="2" t="n">
        <v>513</v>
      </c>
      <c r="C516" s="3" t="n"/>
      <c r="D516" s="3" t="n"/>
      <c r="E516" s="2" t="n"/>
      <c r="F516" s="5">
        <f>IF(E516="","",E516*1000)</f>
        <v/>
      </c>
      <c r="G516" s="23" t="n"/>
      <c r="H516" s="56">
        <f>IF(I516&lt;&gt;"",I516,IF(G516="","",IF(ROUND(MOD(G516,1),1)&lt;=0.4,INT(G516)-1,INT(G516))))</f>
        <v/>
      </c>
      <c r="I516" s="56" t="n"/>
      <c r="J516" s="57">
        <f>IF(H516="","",IF(LOWER(A516)="gl",H516-2,IF(H516&gt;=60,H516-5,IF(AND(H516&gt;=50,H516&lt;60),H516-4,IF(AND(H516&gt;=10,H516&lt;50),H516-3,H516)))))</f>
        <v/>
      </c>
      <c r="K516" s="57" t="n"/>
    </row>
    <row r="517" ht="15" customHeight="1">
      <c r="A517" s="10" t="n"/>
      <c r="B517" s="2" t="n">
        <v>514</v>
      </c>
      <c r="C517" s="3" t="n"/>
      <c r="D517" s="3" t="n"/>
      <c r="E517" s="2" t="n"/>
      <c r="F517" s="5">
        <f>IF(E517="","",E517*1000)</f>
        <v/>
      </c>
      <c r="G517" s="23" t="n"/>
      <c r="H517" s="56">
        <f>IF(I517&lt;&gt;"",I517,IF(G517="","",IF(ROUND(MOD(G517,1),1)&lt;=0.4,INT(G517)-1,INT(G517))))</f>
        <v/>
      </c>
      <c r="I517" s="56" t="n"/>
      <c r="J517" s="57">
        <f>IF(H517="","",IF(LOWER(A517)="gl",H517-2,IF(H517&gt;=60,H517-5,IF(AND(H517&gt;=50,H517&lt;60),H517-4,IF(AND(H517&gt;=10,H517&lt;50),H517-3,H517)))))</f>
        <v/>
      </c>
      <c r="K517" s="57" t="n"/>
    </row>
    <row r="518" ht="15" customHeight="1">
      <c r="A518" s="10" t="n"/>
      <c r="B518" s="2" t="n">
        <v>515</v>
      </c>
      <c r="C518" s="3" t="n"/>
      <c r="D518" s="3" t="n"/>
      <c r="E518" s="2" t="n"/>
      <c r="F518" s="5">
        <f>IF(E518="","",E518*1000)</f>
        <v/>
      </c>
      <c r="G518" s="23" t="n"/>
      <c r="H518" s="56">
        <f>IF(I518&lt;&gt;"",I518,IF(G518="","",IF(ROUND(MOD(G518,1),1)&lt;=0.4,INT(G518)-1,INT(G518))))</f>
        <v/>
      </c>
      <c r="I518" s="56" t="n"/>
      <c r="J518" s="57">
        <f>IF(H518="","",IF(LOWER(A518)="gl",H518-2,IF(H518&gt;=60,H518-5,IF(AND(H518&gt;=50,H518&lt;60),H518-4,IF(AND(H518&gt;=10,H518&lt;50),H518-3,H518)))))</f>
        <v/>
      </c>
      <c r="K518" s="57" t="n"/>
    </row>
    <row r="519" ht="15" customHeight="1">
      <c r="A519" s="10" t="n"/>
      <c r="B519" s="2" t="n">
        <v>516</v>
      </c>
      <c r="C519" s="3" t="n"/>
      <c r="D519" s="3" t="n"/>
      <c r="E519" s="2" t="n"/>
      <c r="F519" s="5">
        <f>IF(E519="","",E519*1000)</f>
        <v/>
      </c>
      <c r="G519" s="23" t="n"/>
      <c r="H519" s="56">
        <f>IF(I519&lt;&gt;"",I519,IF(G519="","",IF(ROUND(MOD(G519,1),1)&lt;=0.4,INT(G519)-1,INT(G519))))</f>
        <v/>
      </c>
      <c r="I519" s="56" t="n"/>
      <c r="J519" s="57">
        <f>IF(H519="","",IF(LOWER(A519)="gl",H519-2,IF(H519&gt;=60,H519-5,IF(AND(H519&gt;=50,H519&lt;60),H519-4,IF(AND(H519&gt;=10,H519&lt;50),H519-3,H519)))))</f>
        <v/>
      </c>
      <c r="K519" s="57" t="n"/>
    </row>
    <row r="520" ht="15" customHeight="1">
      <c r="A520" s="10" t="n"/>
      <c r="B520" s="2" t="n">
        <v>517</v>
      </c>
      <c r="C520" s="3" t="n"/>
      <c r="D520" s="3" t="n"/>
      <c r="E520" s="2" t="n"/>
      <c r="F520" s="5">
        <f>IF(E520="","",E520*1000)</f>
        <v/>
      </c>
      <c r="G520" s="23" t="n"/>
      <c r="H520" s="56">
        <f>IF(I520&lt;&gt;"",I520,IF(G520="","",IF(ROUND(MOD(G520,1),1)&lt;=0.4,INT(G520)-1,INT(G520))))</f>
        <v/>
      </c>
      <c r="I520" s="56" t="n"/>
      <c r="J520" s="57">
        <f>IF(H520="","",IF(LOWER(A520)="gl",H520-2,IF(H520&gt;=60,H520-5,IF(AND(H520&gt;=50,H520&lt;60),H520-4,IF(AND(H520&gt;=10,H520&lt;50),H520-3,H520)))))</f>
        <v/>
      </c>
      <c r="K520" s="57" t="n"/>
    </row>
    <row r="521" ht="15" customHeight="1">
      <c r="A521" s="10" t="n"/>
      <c r="B521" s="2" t="n">
        <v>518</v>
      </c>
      <c r="C521" s="3" t="n"/>
      <c r="D521" s="3" t="n"/>
      <c r="E521" s="2" t="n"/>
      <c r="F521" s="5">
        <f>IF(E521="","",E521*1000)</f>
        <v/>
      </c>
      <c r="G521" s="23" t="n"/>
      <c r="H521" s="56">
        <f>IF(I521&lt;&gt;"",I521,IF(G521="","",IF(ROUND(MOD(G521,1),1)&lt;=0.4,INT(G521)-1,INT(G521))))</f>
        <v/>
      </c>
      <c r="I521" s="56" t="n"/>
      <c r="J521" s="57">
        <f>IF(H521="","",IF(LOWER(A521)="gl",H521-2,IF(H521&gt;=60,H521-5,IF(AND(H521&gt;=50,H521&lt;60),H521-4,IF(AND(H521&gt;=10,H521&lt;50),H521-3,H521)))))</f>
        <v/>
      </c>
      <c r="K521" s="57" t="n"/>
    </row>
    <row r="522" ht="15" customHeight="1">
      <c r="A522" s="10" t="n"/>
      <c r="B522" s="2" t="n">
        <v>519</v>
      </c>
      <c r="C522" s="3" t="n"/>
      <c r="D522" s="3" t="n"/>
      <c r="E522" s="2" t="n"/>
      <c r="F522" s="5">
        <f>IF(E522="","",E522*1000)</f>
        <v/>
      </c>
      <c r="G522" s="23" t="n"/>
      <c r="H522" s="56">
        <f>IF(I522&lt;&gt;"",I522,IF(G522="","",IF(ROUND(MOD(G522,1),1)&lt;=0.4,INT(G522)-1,INT(G522))))</f>
        <v/>
      </c>
      <c r="I522" s="56" t="n"/>
      <c r="J522" s="57">
        <f>IF(H522="","",IF(LOWER(A522)="gl",H522-2,IF(H522&gt;=60,H522-5,IF(AND(H522&gt;=50,H522&lt;60),H522-4,IF(AND(H522&gt;=10,H522&lt;50),H522-3,H522)))))</f>
        <v/>
      </c>
      <c r="K522" s="57" t="n"/>
    </row>
    <row r="523" ht="15" customHeight="1">
      <c r="A523" s="10" t="n"/>
      <c r="B523" s="2" t="n">
        <v>520</v>
      </c>
      <c r="C523" s="3" t="n"/>
      <c r="D523" s="3" t="n"/>
      <c r="E523" s="2" t="n"/>
      <c r="F523" s="5">
        <f>IF(E523="","",E523*1000)</f>
        <v/>
      </c>
      <c r="G523" s="23" t="n"/>
      <c r="H523" s="56">
        <f>IF(I523&lt;&gt;"",I523,IF(G523="","",IF(ROUND(MOD(G523,1),1)&lt;=0.4,INT(G523)-1,INT(G523))))</f>
        <v/>
      </c>
      <c r="I523" s="56" t="n"/>
      <c r="J523" s="57">
        <f>IF(H523="","",IF(LOWER(A523)="gl",H523-2,IF(H523&gt;=60,H523-5,IF(AND(H523&gt;=50,H523&lt;60),H523-4,IF(AND(H523&gt;=10,H523&lt;50),H523-3,H523)))))</f>
        <v/>
      </c>
      <c r="K523" s="57" t="n"/>
    </row>
    <row r="524" ht="15" customHeight="1">
      <c r="A524" s="10" t="n"/>
      <c r="B524" s="2" t="n">
        <v>521</v>
      </c>
      <c r="C524" s="3" t="n"/>
      <c r="D524" s="3" t="n"/>
      <c r="E524" s="2" t="n"/>
      <c r="F524" s="5">
        <f>IF(E524="","",E524*1000)</f>
        <v/>
      </c>
      <c r="G524" s="23" t="n"/>
      <c r="H524" s="56">
        <f>IF(I524&lt;&gt;"",I524,IF(G524="","",IF(ROUND(MOD(G524,1),1)&lt;=0.4,INT(G524)-1,INT(G524))))</f>
        <v/>
      </c>
      <c r="I524" s="56" t="n"/>
      <c r="J524" s="57">
        <f>IF(H524="","",IF(LOWER(A524)="gl",H524-2,IF(H524&gt;=60,H524-5,IF(AND(H524&gt;=50,H524&lt;60),H524-4,IF(AND(H524&gt;=10,H524&lt;50),H524-3,H524)))))</f>
        <v/>
      </c>
      <c r="K524" s="57" t="n"/>
    </row>
    <row r="525" ht="15" customHeight="1">
      <c r="A525" s="10" t="n"/>
      <c r="B525" s="2" t="n">
        <v>522</v>
      </c>
      <c r="C525" s="3" t="n"/>
      <c r="D525" s="3" t="n"/>
      <c r="E525" s="2" t="n"/>
      <c r="F525" s="5">
        <f>IF(E525="","",E525*1000)</f>
        <v/>
      </c>
      <c r="G525" s="23" t="n"/>
      <c r="H525" s="56">
        <f>IF(I525&lt;&gt;"",I525,IF(G525="","",IF(ROUND(MOD(G525,1),1)&lt;=0.4,INT(G525)-1,INT(G525))))</f>
        <v/>
      </c>
      <c r="I525" s="56" t="n"/>
      <c r="J525" s="57">
        <f>IF(H525="","",IF(LOWER(A525)="gl",H525-2,IF(H525&gt;=60,H525-5,IF(AND(H525&gt;=50,H525&lt;60),H525-4,IF(AND(H525&gt;=10,H525&lt;50),H525-3,H525)))))</f>
        <v/>
      </c>
      <c r="K525" s="57" t="n"/>
    </row>
    <row r="526" ht="15" customHeight="1">
      <c r="A526" s="10" t="n"/>
      <c r="B526" s="2" t="n">
        <v>523</v>
      </c>
      <c r="C526" s="3" t="n"/>
      <c r="D526" s="3" t="n"/>
      <c r="E526" s="2" t="n"/>
      <c r="F526" s="5">
        <f>IF(E526="","",E526*1000)</f>
        <v/>
      </c>
      <c r="G526" s="23" t="n"/>
      <c r="H526" s="56">
        <f>IF(I526&lt;&gt;"",I526,IF(G526="","",IF(ROUND(MOD(G526,1),1)&lt;=0.4,INT(G526)-1,INT(G526))))</f>
        <v/>
      </c>
      <c r="I526" s="56" t="n"/>
      <c r="J526" s="57">
        <f>IF(H526="","",IF(LOWER(A526)="gl",H526-2,IF(H526&gt;=60,H526-5,IF(AND(H526&gt;=50,H526&lt;60),H526-4,IF(AND(H526&gt;=10,H526&lt;50),H526-3,H526)))))</f>
        <v/>
      </c>
      <c r="K526" s="57" t="n"/>
    </row>
    <row r="527" ht="15" customHeight="1">
      <c r="A527" s="10" t="n"/>
      <c r="B527" s="2" t="n">
        <v>524</v>
      </c>
      <c r="C527" s="3" t="n"/>
      <c r="D527" s="3" t="n"/>
      <c r="E527" s="2" t="n"/>
      <c r="F527" s="5">
        <f>IF(E527="","",E527*1000)</f>
        <v/>
      </c>
      <c r="G527" s="23" t="n"/>
      <c r="H527" s="56">
        <f>IF(I527&lt;&gt;"",I527,IF(G527="","",IF(ROUND(MOD(G527,1),1)&lt;=0.4,INT(G527)-1,INT(G527))))</f>
        <v/>
      </c>
      <c r="I527" s="56" t="n"/>
      <c r="J527" s="57">
        <f>IF(H527="","",IF(LOWER(A527)="gl",H527-2,IF(H527&gt;=60,H527-5,IF(AND(H527&gt;=50,H527&lt;60),H527-4,IF(AND(H527&gt;=10,H527&lt;50),H527-3,H527)))))</f>
        <v/>
      </c>
      <c r="K527" s="57" t="n"/>
    </row>
    <row r="528" ht="15" customHeight="1">
      <c r="A528" s="10" t="n"/>
      <c r="B528" s="2" t="n">
        <v>525</v>
      </c>
      <c r="C528" s="3" t="n"/>
      <c r="D528" s="3" t="n"/>
      <c r="E528" s="2" t="n"/>
      <c r="F528" s="5">
        <f>IF(E528="","",E528*1000)</f>
        <v/>
      </c>
      <c r="G528" s="23" t="n"/>
      <c r="H528" s="56">
        <f>IF(I528&lt;&gt;"",I528,IF(G528="","",IF(ROUND(MOD(G528,1),1)&lt;=0.4,INT(G528)-1,INT(G528))))</f>
        <v/>
      </c>
      <c r="I528" s="56" t="n"/>
      <c r="J528" s="57">
        <f>IF(H528="","",IF(LOWER(A528)="gl",H528-2,IF(H528&gt;=60,H528-5,IF(AND(H528&gt;=50,H528&lt;60),H528-4,IF(AND(H528&gt;=10,H528&lt;50),H528-3,H528)))))</f>
        <v/>
      </c>
      <c r="K528" s="57" t="n"/>
    </row>
    <row r="529" ht="15" customHeight="1">
      <c r="A529" s="10" t="n"/>
      <c r="B529" s="2" t="n">
        <v>526</v>
      </c>
      <c r="C529" s="3" t="n"/>
      <c r="D529" s="3" t="n"/>
      <c r="E529" s="2" t="n"/>
      <c r="F529" s="5">
        <f>IF(E529="","",E529*1000)</f>
        <v/>
      </c>
      <c r="G529" s="23" t="n"/>
      <c r="H529" s="56">
        <f>IF(I529&lt;&gt;"",I529,IF(G529="","",IF(ROUND(MOD(G529,1),1)&lt;=0.4,INT(G529)-1,INT(G529))))</f>
        <v/>
      </c>
      <c r="I529" s="56" t="n"/>
      <c r="J529" s="57">
        <f>IF(H529="","",IF(LOWER(A529)="gl",H529-2,IF(H529&gt;=60,H529-5,IF(AND(H529&gt;=50,H529&lt;60),H529-4,IF(AND(H529&gt;=10,H529&lt;50),H529-3,H529)))))</f>
        <v/>
      </c>
      <c r="K529" s="57" t="n"/>
    </row>
    <row r="530" ht="15" customHeight="1">
      <c r="A530" s="10" t="n"/>
      <c r="B530" s="2" t="n">
        <v>527</v>
      </c>
      <c r="C530" s="3" t="n"/>
      <c r="D530" s="3" t="n"/>
      <c r="E530" s="2" t="n"/>
      <c r="F530" s="5">
        <f>IF(E530="","",E530*1000)</f>
        <v/>
      </c>
      <c r="G530" s="23" t="n"/>
      <c r="H530" s="56">
        <f>IF(I530&lt;&gt;"",I530,IF(G530="","",IF(ROUND(MOD(G530,1),1)&lt;=0.4,INT(G530)-1,INT(G530))))</f>
        <v/>
      </c>
      <c r="I530" s="56" t="n"/>
      <c r="J530" s="57">
        <f>IF(H530="","",IF(LOWER(A530)="gl",H530-2,IF(H530&gt;=60,H530-5,IF(AND(H530&gt;=50,H530&lt;60),H530-4,IF(AND(H530&gt;=10,H530&lt;50),H530-3,H530)))))</f>
        <v/>
      </c>
      <c r="K530" s="57" t="n"/>
    </row>
    <row r="531" ht="15" customHeight="1">
      <c r="A531" s="10" t="n"/>
      <c r="B531" s="2" t="n">
        <v>528</v>
      </c>
      <c r="C531" s="3" t="n"/>
      <c r="D531" s="3" t="n"/>
      <c r="E531" s="2" t="n"/>
      <c r="F531" s="5">
        <f>IF(E531="","",E531*1000)</f>
        <v/>
      </c>
      <c r="G531" s="23" t="n"/>
      <c r="H531" s="56">
        <f>IF(I531&lt;&gt;"",I531,IF(G531="","",IF(ROUND(MOD(G531,1),1)&lt;=0.4,INT(G531)-1,INT(G531))))</f>
        <v/>
      </c>
      <c r="I531" s="56" t="n"/>
      <c r="J531" s="57">
        <f>IF(H531="","",IF(LOWER(A531)="gl",H531-2,IF(H531&gt;=60,H531-5,IF(AND(H531&gt;=50,H531&lt;60),H531-4,IF(AND(H531&gt;=10,H531&lt;50),H531-3,H531)))))</f>
        <v/>
      </c>
      <c r="K531" s="57" t="n"/>
    </row>
    <row r="532" ht="15" customHeight="1">
      <c r="A532" s="10" t="n"/>
      <c r="B532" s="2" t="n">
        <v>529</v>
      </c>
      <c r="C532" s="3" t="n"/>
      <c r="D532" s="3" t="n"/>
      <c r="E532" s="2" t="n"/>
      <c r="F532" s="5">
        <f>IF(E532="","",E532*1000)</f>
        <v/>
      </c>
      <c r="G532" s="23" t="n"/>
      <c r="H532" s="56">
        <f>IF(I532&lt;&gt;"",I532,IF(G532="","",IF(ROUND(MOD(G532,1),1)&lt;=0.4,INT(G532)-1,INT(G532))))</f>
        <v/>
      </c>
      <c r="I532" s="56" t="n"/>
      <c r="J532" s="57">
        <f>IF(H532="","",IF(LOWER(A532)="gl",H532-2,IF(H532&gt;=60,H532-5,IF(AND(H532&gt;=50,H532&lt;60),H532-4,IF(AND(H532&gt;=10,H532&lt;50),H532-3,H532)))))</f>
        <v/>
      </c>
      <c r="K532" s="57" t="n"/>
    </row>
    <row r="533" ht="15" customHeight="1">
      <c r="A533" s="10" t="n"/>
      <c r="B533" s="2" t="n">
        <v>530</v>
      </c>
      <c r="C533" s="3" t="n"/>
      <c r="D533" s="3" t="n"/>
      <c r="E533" s="2" t="n"/>
      <c r="F533" s="5">
        <f>IF(E533="","",E533*1000)</f>
        <v/>
      </c>
      <c r="G533" s="23" t="n"/>
      <c r="H533" s="56">
        <f>IF(I533&lt;&gt;"",I533,IF(G533="","",IF(ROUND(MOD(G533,1),1)&lt;=0.4,INT(G533)-1,INT(G533))))</f>
        <v/>
      </c>
      <c r="I533" s="56" t="n"/>
      <c r="J533" s="57">
        <f>IF(H533="","",IF(LOWER(A533)="gl",H533-2,IF(H533&gt;=60,H533-5,IF(AND(H533&gt;=50,H533&lt;60),H533-4,IF(AND(H533&gt;=10,H533&lt;50),H533-3,H533)))))</f>
        <v/>
      </c>
      <c r="K533" s="57" t="n"/>
    </row>
    <row r="534" ht="15" customHeight="1">
      <c r="A534" s="10" t="n"/>
      <c r="B534" s="2" t="n">
        <v>531</v>
      </c>
      <c r="C534" s="3" t="n"/>
      <c r="D534" s="3" t="n"/>
      <c r="E534" s="2" t="n"/>
      <c r="F534" s="5">
        <f>IF(E534="","",E534*1000)</f>
        <v/>
      </c>
      <c r="G534" s="23" t="n"/>
      <c r="H534" s="56">
        <f>IF(I534&lt;&gt;"",I534,IF(G534="","",IF(ROUND(MOD(G534,1),1)&lt;=0.4,INT(G534)-1,INT(G534))))</f>
        <v/>
      </c>
      <c r="I534" s="56" t="n"/>
      <c r="J534" s="57">
        <f>IF(H534="","",IF(LOWER(A534)="gl",H534-2,IF(H534&gt;=60,H534-5,IF(AND(H534&gt;=50,H534&lt;60),H534-4,IF(AND(H534&gt;=10,H534&lt;50),H534-3,H534)))))</f>
        <v/>
      </c>
      <c r="K534" s="57" t="n"/>
    </row>
    <row r="535" ht="15" customHeight="1">
      <c r="A535" s="10" t="n"/>
      <c r="B535" s="2" t="n">
        <v>532</v>
      </c>
      <c r="C535" s="3" t="n"/>
      <c r="D535" s="3" t="n"/>
      <c r="E535" s="2" t="n"/>
      <c r="F535" s="5">
        <f>IF(E535="","",E535*1000)</f>
        <v/>
      </c>
      <c r="G535" s="23" t="n"/>
      <c r="H535" s="56">
        <f>IF(I535&lt;&gt;"",I535,IF(G535="","",IF(ROUND(MOD(G535,1),1)&lt;=0.4,INT(G535)-1,INT(G535))))</f>
        <v/>
      </c>
      <c r="I535" s="56" t="n"/>
      <c r="J535" s="57">
        <f>IF(H535="","",IF(LOWER(A535)="gl",H535-2,IF(H535&gt;=60,H535-5,IF(AND(H535&gt;=50,H535&lt;60),H535-4,IF(AND(H535&gt;=10,H535&lt;50),H535-3,H535)))))</f>
        <v/>
      </c>
      <c r="K535" s="57" t="n"/>
    </row>
    <row r="536" ht="15" customHeight="1">
      <c r="A536" s="10" t="n"/>
      <c r="B536" s="2" t="n">
        <v>533</v>
      </c>
      <c r="C536" s="3" t="n"/>
      <c r="D536" s="3" t="n"/>
      <c r="E536" s="2" t="n"/>
      <c r="F536" s="5">
        <f>IF(E536="","",E536*1000)</f>
        <v/>
      </c>
      <c r="G536" s="23" t="n"/>
      <c r="H536" s="56">
        <f>IF(I536&lt;&gt;"",I536,IF(G536="","",IF(ROUND(MOD(G536,1),1)&lt;=0.4,INT(G536)-1,INT(G536))))</f>
        <v/>
      </c>
      <c r="I536" s="56" t="n"/>
      <c r="J536" s="57">
        <f>IF(H536="","",IF(LOWER(A536)="gl",H536-2,IF(H536&gt;=60,H536-5,IF(AND(H536&gt;=50,H536&lt;60),H536-4,IF(AND(H536&gt;=10,H536&lt;50),H536-3,H536)))))</f>
        <v/>
      </c>
      <c r="K536" s="57" t="n"/>
    </row>
    <row r="537" ht="15" customHeight="1">
      <c r="A537" s="10" t="n"/>
      <c r="B537" s="2" t="n">
        <v>534</v>
      </c>
      <c r="C537" s="3" t="n"/>
      <c r="D537" s="3" t="n"/>
      <c r="E537" s="2" t="n"/>
      <c r="F537" s="5">
        <f>IF(E537="","",E537*1000)</f>
        <v/>
      </c>
      <c r="G537" s="23" t="n"/>
      <c r="H537" s="56">
        <f>IF(I537&lt;&gt;"",I537,IF(G537="","",IF(ROUND(MOD(G537,1),1)&lt;=0.4,INT(G537)-1,INT(G537))))</f>
        <v/>
      </c>
      <c r="I537" s="56" t="n"/>
      <c r="J537" s="57">
        <f>IF(H537="","",IF(LOWER(A537)="gl",H537-2,IF(H537&gt;=60,H537-5,IF(AND(H537&gt;=50,H537&lt;60),H537-4,IF(AND(H537&gt;=10,H537&lt;50),H537-3,H537)))))</f>
        <v/>
      </c>
      <c r="K537" s="57" t="n"/>
    </row>
    <row r="538" ht="15" customHeight="1">
      <c r="A538" s="10" t="n"/>
      <c r="B538" s="2" t="n">
        <v>535</v>
      </c>
      <c r="C538" s="3" t="n"/>
      <c r="D538" s="3" t="n"/>
      <c r="E538" s="2" t="n"/>
      <c r="F538" s="5">
        <f>IF(E538="","",E538*1000)</f>
        <v/>
      </c>
      <c r="G538" s="23" t="n"/>
      <c r="H538" s="56">
        <f>IF(I538&lt;&gt;"",I538,IF(G538="","",IF(ROUND(MOD(G538,1),1)&lt;=0.4,INT(G538)-1,INT(G538))))</f>
        <v/>
      </c>
      <c r="I538" s="56" t="n"/>
      <c r="J538" s="57">
        <f>IF(H538="","",IF(LOWER(A538)="gl",H538-2,IF(H538&gt;=60,H538-5,IF(AND(H538&gt;=50,H538&lt;60),H538-4,IF(AND(H538&gt;=10,H538&lt;50),H538-3,H538)))))</f>
        <v/>
      </c>
      <c r="K538" s="57" t="n"/>
    </row>
    <row r="539" ht="15" customHeight="1">
      <c r="A539" s="10" t="n"/>
      <c r="B539" s="2" t="n">
        <v>536</v>
      </c>
      <c r="C539" s="3" t="n"/>
      <c r="D539" s="3" t="n"/>
      <c r="E539" s="2" t="n"/>
      <c r="F539" s="5">
        <f>IF(E539="","",E539*1000)</f>
        <v/>
      </c>
      <c r="G539" s="23" t="n"/>
      <c r="H539" s="56">
        <f>IF(I539&lt;&gt;"",I539,IF(G539="","",IF(ROUND(MOD(G539,1),1)&lt;=0.4,INT(G539)-1,INT(G539))))</f>
        <v/>
      </c>
      <c r="I539" s="56" t="n"/>
      <c r="J539" s="57">
        <f>IF(H539="","",IF(LOWER(A539)="gl",H539-2,IF(H539&gt;=60,H539-5,IF(AND(H539&gt;=50,H539&lt;60),H539-4,IF(AND(H539&gt;=10,H539&lt;50),H539-3,H539)))))</f>
        <v/>
      </c>
      <c r="K539" s="57" t="n"/>
    </row>
    <row r="540" ht="15" customHeight="1">
      <c r="A540" s="10" t="n"/>
      <c r="B540" s="2" t="n">
        <v>537</v>
      </c>
      <c r="C540" s="3" t="n"/>
      <c r="D540" s="3" t="n"/>
      <c r="E540" s="2" t="n"/>
      <c r="F540" s="5">
        <f>IF(E540="","",E540*1000)</f>
        <v/>
      </c>
      <c r="G540" s="23" t="n"/>
      <c r="H540" s="56">
        <f>IF(I540&lt;&gt;"",I540,IF(G540="","",IF(ROUND(MOD(G540,1),1)&lt;=0.4,INT(G540)-1,INT(G540))))</f>
        <v/>
      </c>
      <c r="I540" s="56" t="n"/>
      <c r="J540" s="57">
        <f>IF(H540="","",IF(LOWER(A540)="gl",H540-2,IF(H540&gt;=60,H540-5,IF(AND(H540&gt;=50,H540&lt;60),H540-4,IF(AND(H540&gt;=10,H540&lt;50),H540-3,H540)))))</f>
        <v/>
      </c>
      <c r="K540" s="57" t="n"/>
    </row>
    <row r="541" ht="15" customHeight="1">
      <c r="A541" s="10" t="n"/>
      <c r="B541" s="2" t="n">
        <v>538</v>
      </c>
      <c r="C541" s="3" t="n"/>
      <c r="D541" s="3" t="n"/>
      <c r="E541" s="2" t="n"/>
      <c r="F541" s="5">
        <f>IF(E541="","",E541*1000)</f>
        <v/>
      </c>
      <c r="G541" s="23" t="n"/>
      <c r="H541" s="56">
        <f>IF(I541&lt;&gt;"",I541,IF(G541="","",IF(ROUND(MOD(G541,1),1)&lt;=0.4,INT(G541)-1,INT(G541))))</f>
        <v/>
      </c>
      <c r="I541" s="56" t="n"/>
      <c r="J541" s="57">
        <f>IF(H541="","",IF(LOWER(A541)="gl",H541-2,IF(H541&gt;=60,H541-5,IF(AND(H541&gt;=50,H541&lt;60),H541-4,IF(AND(H541&gt;=10,H541&lt;50),H541-3,H541)))))</f>
        <v/>
      </c>
      <c r="K541" s="57" t="n"/>
    </row>
    <row r="542" ht="15" customHeight="1">
      <c r="A542" s="10" t="n"/>
      <c r="B542" s="2" t="n">
        <v>539</v>
      </c>
      <c r="C542" s="3" t="n"/>
      <c r="D542" s="3" t="n"/>
      <c r="E542" s="2" t="n"/>
      <c r="F542" s="5">
        <f>IF(E542="","",E542*1000)</f>
        <v/>
      </c>
      <c r="G542" s="23" t="n"/>
      <c r="H542" s="56">
        <f>IF(I542&lt;&gt;"",I542,IF(G542="","",IF(ROUND(MOD(G542,1),1)&lt;=0.4,INT(G542)-1,INT(G542))))</f>
        <v/>
      </c>
      <c r="I542" s="56" t="n"/>
      <c r="J542" s="57">
        <f>IF(H542="","",IF(LOWER(A542)="gl",H542-2,IF(H542&gt;=60,H542-5,IF(AND(H542&gt;=50,H542&lt;60),H542-4,IF(AND(H542&gt;=10,H542&lt;50),H542-3,H542)))))</f>
        <v/>
      </c>
      <c r="K542" s="57" t="n"/>
    </row>
    <row r="543" ht="15" customHeight="1">
      <c r="A543" s="10" t="n"/>
      <c r="B543" s="2" t="n">
        <v>540</v>
      </c>
      <c r="C543" s="3" t="n"/>
      <c r="D543" s="3" t="n"/>
      <c r="E543" s="2" t="n"/>
      <c r="F543" s="5">
        <f>IF(E543="","",E543*1000)</f>
        <v/>
      </c>
      <c r="G543" s="23" t="n"/>
      <c r="H543" s="56">
        <f>IF(I543&lt;&gt;"",I543,IF(G543="","",IF(ROUND(MOD(G543,1),1)&lt;=0.4,INT(G543)-1,INT(G543))))</f>
        <v/>
      </c>
      <c r="I543" s="56" t="n"/>
      <c r="J543" s="57">
        <f>IF(H543="","",IF(LOWER(A543)="gl",H543-2,IF(H543&gt;=60,H543-5,IF(AND(H543&gt;=50,H543&lt;60),H543-4,IF(AND(H543&gt;=10,H543&lt;50),H543-3,H543)))))</f>
        <v/>
      </c>
      <c r="K543" s="57" t="n"/>
    </row>
    <row r="544" ht="15" customHeight="1">
      <c r="A544" s="10" t="n"/>
      <c r="B544" s="2" t="n">
        <v>541</v>
      </c>
      <c r="C544" s="3" t="n"/>
      <c r="D544" s="3" t="n"/>
      <c r="E544" s="2" t="n"/>
      <c r="F544" s="5">
        <f>IF(E544="","",E544*1000)</f>
        <v/>
      </c>
      <c r="G544" s="23" t="n"/>
      <c r="H544" s="56">
        <f>IF(I544&lt;&gt;"",I544,IF(G544="","",IF(ROUND(MOD(G544,1),1)&lt;=0.4,INT(G544)-1,INT(G544))))</f>
        <v/>
      </c>
      <c r="I544" s="56" t="n"/>
      <c r="J544" s="57">
        <f>IF(H544="","",IF(LOWER(A544)="gl",H544-2,IF(H544&gt;=60,H544-5,IF(AND(H544&gt;=50,H544&lt;60),H544-4,IF(AND(H544&gt;=10,H544&lt;50),H544-3,H544)))))</f>
        <v/>
      </c>
      <c r="K544" s="57" t="n"/>
    </row>
    <row r="545" ht="15" customHeight="1">
      <c r="A545" s="10" t="n"/>
      <c r="B545" s="2" t="n">
        <v>542</v>
      </c>
      <c r="C545" s="3" t="n"/>
      <c r="D545" s="3" t="n"/>
      <c r="E545" s="2" t="n"/>
      <c r="F545" s="5">
        <f>IF(E545="","",E545*1000)</f>
        <v/>
      </c>
      <c r="G545" s="23" t="n"/>
      <c r="H545" s="56">
        <f>IF(I545&lt;&gt;"",I545,IF(G545="","",IF(ROUND(MOD(G545,1),1)&lt;=0.4,INT(G545)-1,INT(G545))))</f>
        <v/>
      </c>
      <c r="I545" s="56" t="n"/>
      <c r="J545" s="57">
        <f>IF(H545="","",IF(LOWER(A545)="gl",H545-2,IF(H545&gt;=60,H545-5,IF(AND(H545&gt;=50,H545&lt;60),H545-4,IF(AND(H545&gt;=10,H545&lt;50),H545-3,H545)))))</f>
        <v/>
      </c>
      <c r="K545" s="57" t="n"/>
    </row>
    <row r="546" ht="15" customHeight="1">
      <c r="A546" s="10" t="n"/>
      <c r="B546" s="2" t="n">
        <v>543</v>
      </c>
      <c r="C546" s="3" t="n"/>
      <c r="D546" s="3" t="n"/>
      <c r="E546" s="2" t="n"/>
      <c r="F546" s="5">
        <f>IF(E546="","",E546*1000)</f>
        <v/>
      </c>
      <c r="G546" s="23" t="n"/>
      <c r="H546" s="56">
        <f>IF(I546&lt;&gt;"",I546,IF(G546="","",IF(ROUND(MOD(G546,1),1)&lt;=0.4,INT(G546)-1,INT(G546))))</f>
        <v/>
      </c>
      <c r="I546" s="56" t="n"/>
      <c r="J546" s="57">
        <f>IF(H546="","",IF(LOWER(A546)="gl",H546-2,IF(H546&gt;=60,H546-5,IF(AND(H546&gt;=50,H546&lt;60),H546-4,IF(AND(H546&gt;=10,H546&lt;50),H546-3,H546)))))</f>
        <v/>
      </c>
      <c r="K546" s="57" t="n"/>
    </row>
    <row r="547" ht="15" customHeight="1">
      <c r="A547" s="10" t="n"/>
      <c r="B547" s="2" t="n">
        <v>544</v>
      </c>
      <c r="C547" s="3" t="n"/>
      <c r="D547" s="3" t="n"/>
      <c r="E547" s="2" t="n"/>
      <c r="F547" s="5">
        <f>IF(E547="","",E547*1000)</f>
        <v/>
      </c>
      <c r="G547" s="23" t="n"/>
      <c r="H547" s="56">
        <f>IF(I547&lt;&gt;"",I547,IF(G547="","",IF(ROUND(MOD(G547,1),1)&lt;=0.4,INT(G547)-1,INT(G547))))</f>
        <v/>
      </c>
      <c r="I547" s="56" t="n"/>
      <c r="J547" s="57">
        <f>IF(H547="","",IF(LOWER(A547)="gl",H547-2,IF(H547&gt;=60,H547-5,IF(AND(H547&gt;=50,H547&lt;60),H547-4,IF(AND(H547&gt;=10,H547&lt;50),H547-3,H547)))))</f>
        <v/>
      </c>
      <c r="K547" s="57" t="n"/>
    </row>
    <row r="548" ht="15" customHeight="1">
      <c r="A548" s="10" t="n"/>
      <c r="B548" s="2" t="n">
        <v>545</v>
      </c>
      <c r="C548" s="3" t="n"/>
      <c r="D548" s="3" t="n"/>
      <c r="E548" s="2" t="n"/>
      <c r="F548" s="5">
        <f>IF(E548="","",E548*1000)</f>
        <v/>
      </c>
      <c r="G548" s="23" t="n"/>
      <c r="H548" s="56">
        <f>IF(I548&lt;&gt;"",I548,IF(G548="","",IF(ROUND(MOD(G548,1),1)&lt;=0.4,INT(G548)-1,INT(G548))))</f>
        <v/>
      </c>
      <c r="I548" s="56" t="n"/>
      <c r="J548" s="57">
        <f>IF(H548="","",IF(LOWER(A548)="gl",H548-2,IF(H548&gt;=60,H548-5,IF(AND(H548&gt;=50,H548&lt;60),H548-4,IF(AND(H548&gt;=10,H548&lt;50),H548-3,H548)))))</f>
        <v/>
      </c>
      <c r="K548" s="57" t="n"/>
    </row>
    <row r="549" ht="15" customHeight="1">
      <c r="A549" s="10" t="n"/>
      <c r="B549" s="2" t="n">
        <v>546</v>
      </c>
      <c r="C549" s="3" t="n"/>
      <c r="D549" s="3" t="n"/>
      <c r="E549" s="2" t="n"/>
      <c r="F549" s="5">
        <f>IF(E549="","",E549*1000)</f>
        <v/>
      </c>
      <c r="G549" s="23" t="n"/>
      <c r="H549" s="56">
        <f>IF(I549&lt;&gt;"",I549,IF(G549="","",IF(ROUND(MOD(G549,1),1)&lt;=0.4,INT(G549)-1,INT(G549))))</f>
        <v/>
      </c>
      <c r="I549" s="56" t="n"/>
      <c r="J549" s="57">
        <f>IF(H549="","",IF(LOWER(A549)="gl",H549-2,IF(H549&gt;=60,H549-5,IF(AND(H549&gt;=50,H549&lt;60),H549-4,IF(AND(H549&gt;=10,H549&lt;50),H549-3,H549)))))</f>
        <v/>
      </c>
      <c r="K549" s="57" t="n"/>
    </row>
    <row r="550" ht="15" customHeight="1">
      <c r="A550" s="10" t="n"/>
      <c r="B550" s="2" t="n">
        <v>547</v>
      </c>
      <c r="C550" s="3" t="n"/>
      <c r="D550" s="3" t="n"/>
      <c r="E550" s="2" t="n"/>
      <c r="F550" s="5">
        <f>IF(E550="","",E550*1000)</f>
        <v/>
      </c>
      <c r="G550" s="23" t="n"/>
      <c r="H550" s="56">
        <f>IF(I550&lt;&gt;"",I550,IF(G550="","",IF(ROUND(MOD(G550,1),1)&lt;=0.4,INT(G550)-1,INT(G550))))</f>
        <v/>
      </c>
      <c r="I550" s="56" t="n"/>
      <c r="J550" s="57">
        <f>IF(H550="","",IF(LOWER(A550)="gl",H550-2,IF(H550&gt;=60,H550-5,IF(AND(H550&gt;=50,H550&lt;60),H550-4,IF(AND(H550&gt;=10,H550&lt;50),H550-3,H550)))))</f>
        <v/>
      </c>
      <c r="K550" s="57" t="n"/>
    </row>
    <row r="551" ht="15" customHeight="1">
      <c r="A551" s="10" t="n"/>
      <c r="B551" s="2" t="n">
        <v>548</v>
      </c>
      <c r="C551" s="3" t="n"/>
      <c r="D551" s="3" t="n"/>
      <c r="E551" s="2" t="n"/>
      <c r="F551" s="5">
        <f>IF(E551="","",E551*1000)</f>
        <v/>
      </c>
      <c r="G551" s="23" t="n"/>
      <c r="H551" s="56">
        <f>IF(I551&lt;&gt;"",I551,IF(G551="","",IF(ROUND(MOD(G551,1),1)&lt;=0.4,INT(G551)-1,INT(G551))))</f>
        <v/>
      </c>
      <c r="I551" s="56" t="n"/>
      <c r="J551" s="57">
        <f>IF(H551="","",IF(LOWER(A551)="gl",H551-2,IF(H551&gt;=60,H551-5,IF(AND(H551&gt;=50,H551&lt;60),H551-4,IF(AND(H551&gt;=10,H551&lt;50),H551-3,H551)))))</f>
        <v/>
      </c>
      <c r="K551" s="57" t="n"/>
    </row>
    <row r="552" ht="15" customHeight="1">
      <c r="A552" s="10" t="n"/>
      <c r="B552" s="2" t="n">
        <v>549</v>
      </c>
      <c r="C552" s="3" t="n"/>
      <c r="D552" s="3" t="n"/>
      <c r="E552" s="2" t="n"/>
      <c r="F552" s="5">
        <f>IF(E552="","",E552*1000)</f>
        <v/>
      </c>
      <c r="G552" s="23" t="n"/>
      <c r="H552" s="56">
        <f>IF(I552&lt;&gt;"",I552,IF(G552="","",IF(ROUND(MOD(G552,1),1)&lt;=0.4,INT(G552)-1,INT(G552))))</f>
        <v/>
      </c>
      <c r="I552" s="56" t="n"/>
      <c r="J552" s="57">
        <f>IF(H552="","",IF(LOWER(A552)="gl",H552-2,IF(H552&gt;=60,H552-5,IF(AND(H552&gt;=50,H552&lt;60),H552-4,IF(AND(H552&gt;=10,H552&lt;50),H552-3,H552)))))</f>
        <v/>
      </c>
      <c r="K552" s="57" t="n"/>
    </row>
    <row r="553" ht="15" customHeight="1">
      <c r="A553" s="10" t="n"/>
      <c r="B553" s="2" t="n">
        <v>550</v>
      </c>
      <c r="C553" s="3" t="n"/>
      <c r="D553" s="3" t="n"/>
      <c r="E553" s="2" t="n"/>
      <c r="F553" s="5">
        <f>IF(E553="","",E553*1000)</f>
        <v/>
      </c>
      <c r="G553" s="23" t="n"/>
      <c r="H553" s="56">
        <f>IF(I553&lt;&gt;"",I553,IF(G553="","",IF(ROUND(MOD(G553,1),1)&lt;=0.4,INT(G553)-1,INT(G553))))</f>
        <v/>
      </c>
      <c r="I553" s="56" t="n"/>
      <c r="J553" s="57">
        <f>IF(H553="","",IF(LOWER(A553)="gl",H553-2,IF(H553&gt;=60,H553-5,IF(AND(H553&gt;=50,H553&lt;60),H553-4,IF(AND(H553&gt;=10,H553&lt;50),H553-3,H553)))))</f>
        <v/>
      </c>
      <c r="K553" s="57" t="n"/>
    </row>
    <row r="554" ht="15" customHeight="1">
      <c r="A554" s="10" t="n"/>
      <c r="B554" s="2" t="n">
        <v>551</v>
      </c>
      <c r="C554" s="3" t="n"/>
      <c r="D554" s="3" t="n"/>
      <c r="E554" s="2" t="n"/>
      <c r="F554" s="5">
        <f>IF(E554="","",E554*1000)</f>
        <v/>
      </c>
      <c r="G554" s="23" t="n"/>
      <c r="H554" s="56">
        <f>IF(I554&lt;&gt;"",I554,IF(G554="","",IF(ROUND(MOD(G554,1),1)&lt;=0.4,INT(G554)-1,INT(G554))))</f>
        <v/>
      </c>
      <c r="I554" s="56" t="n"/>
      <c r="J554" s="57">
        <f>IF(H554="","",IF(LOWER(A554)="gl",H554-2,IF(H554&gt;=60,H554-5,IF(AND(H554&gt;=50,H554&lt;60),H554-4,IF(AND(H554&gt;=10,H554&lt;50),H554-3,H554)))))</f>
        <v/>
      </c>
      <c r="K554" s="57" t="n"/>
    </row>
    <row r="555" ht="15" customHeight="1">
      <c r="A555" s="10" t="n"/>
      <c r="B555" s="2" t="n">
        <v>552</v>
      </c>
      <c r="C555" s="3" t="n"/>
      <c r="D555" s="3" t="n"/>
      <c r="E555" s="2" t="n"/>
      <c r="F555" s="5">
        <f>IF(E555="","",E555*1000)</f>
        <v/>
      </c>
      <c r="G555" s="23" t="n"/>
      <c r="H555" s="56">
        <f>IF(I555&lt;&gt;"",I555,IF(G555="","",IF(ROUND(MOD(G555,1),1)&lt;=0.4,INT(G555)-1,INT(G555))))</f>
        <v/>
      </c>
      <c r="I555" s="56" t="n"/>
      <c r="J555" s="57">
        <f>IF(H555="","",IF(LOWER(A555)="gl",H555-2,IF(H555&gt;=60,H555-5,IF(AND(H555&gt;=50,H555&lt;60),H555-4,IF(AND(H555&gt;=10,H555&lt;50),H555-3,H555)))))</f>
        <v/>
      </c>
      <c r="K555" s="57" t="n"/>
    </row>
    <row r="556" ht="15" customHeight="1">
      <c r="A556" s="10" t="n"/>
      <c r="B556" s="2" t="n">
        <v>553</v>
      </c>
      <c r="C556" s="3" t="n"/>
      <c r="D556" s="3" t="n"/>
      <c r="E556" s="2" t="n"/>
      <c r="F556" s="5">
        <f>IF(E556="","",E556*1000)</f>
        <v/>
      </c>
      <c r="G556" s="23" t="n"/>
      <c r="H556" s="56">
        <f>IF(I556&lt;&gt;"",I556,IF(G556="","",IF(ROUND(MOD(G556,1),1)&lt;=0.4,INT(G556)-1,INT(G556))))</f>
        <v/>
      </c>
      <c r="I556" s="56" t="n"/>
      <c r="J556" s="57">
        <f>IF(H556="","",IF(LOWER(A556)="gl",H556-2,IF(H556&gt;=60,H556-5,IF(AND(H556&gt;=50,H556&lt;60),H556-4,IF(AND(H556&gt;=10,H556&lt;50),H556-3,H556)))))</f>
        <v/>
      </c>
      <c r="K556" s="57" t="n"/>
    </row>
    <row r="557" ht="15" customHeight="1">
      <c r="A557" s="10" t="n"/>
      <c r="B557" s="2" t="n">
        <v>554</v>
      </c>
      <c r="C557" s="3" t="n"/>
      <c r="D557" s="3" t="n"/>
      <c r="E557" s="2" t="n"/>
      <c r="F557" s="5">
        <f>IF(E557="","",E557*1000)</f>
        <v/>
      </c>
      <c r="G557" s="23" t="n"/>
      <c r="H557" s="56">
        <f>IF(I557&lt;&gt;"",I557,IF(G557="","",IF(ROUND(MOD(G557,1),1)&lt;=0.4,INT(G557)-1,INT(G557))))</f>
        <v/>
      </c>
      <c r="I557" s="56" t="n"/>
      <c r="J557" s="57">
        <f>IF(H557="","",IF(LOWER(A557)="gl",H557-2,IF(H557&gt;=60,H557-5,IF(AND(H557&gt;=50,H557&lt;60),H557-4,IF(AND(H557&gt;=10,H557&lt;50),H557-3,H557)))))</f>
        <v/>
      </c>
      <c r="K557" s="57" t="n"/>
    </row>
    <row r="558" ht="15" customHeight="1">
      <c r="A558" s="10" t="n"/>
      <c r="B558" s="2" t="n">
        <v>555</v>
      </c>
      <c r="C558" s="3" t="n"/>
      <c r="D558" s="3" t="n"/>
      <c r="E558" s="2" t="n"/>
      <c r="F558" s="5">
        <f>IF(E558="","",E558*1000)</f>
        <v/>
      </c>
      <c r="G558" s="23" t="n"/>
      <c r="H558" s="56">
        <f>IF(I558&lt;&gt;"",I558,IF(G558="","",IF(ROUND(MOD(G558,1),1)&lt;=0.4,INT(G558)-1,INT(G558))))</f>
        <v/>
      </c>
      <c r="I558" s="56" t="n"/>
      <c r="J558" s="57">
        <f>IF(H558="","",IF(LOWER(A558)="gl",H558-2,IF(H558&gt;=60,H558-5,IF(AND(H558&gt;=50,H558&lt;60),H558-4,IF(AND(H558&gt;=10,H558&lt;50),H558-3,H558)))))</f>
        <v/>
      </c>
      <c r="K558" s="57" t="n"/>
    </row>
    <row r="559" ht="15" customHeight="1">
      <c r="A559" s="10" t="n"/>
      <c r="B559" s="2" t="n">
        <v>556</v>
      </c>
      <c r="C559" s="3" t="n"/>
      <c r="D559" s="3" t="n"/>
      <c r="E559" s="2" t="n"/>
      <c r="F559" s="5">
        <f>IF(E559="","",E559*1000)</f>
        <v/>
      </c>
      <c r="G559" s="23" t="n"/>
      <c r="H559" s="56">
        <f>IF(I559&lt;&gt;"",I559,IF(G559="","",IF(ROUND(MOD(G559,1),1)&lt;=0.4,INT(G559)-1,INT(G559))))</f>
        <v/>
      </c>
      <c r="I559" s="56" t="n"/>
      <c r="J559" s="57">
        <f>IF(H559="","",IF(LOWER(A559)="gl",H559-2,IF(H559&gt;=60,H559-5,IF(AND(H559&gt;=50,H559&lt;60),H559-4,IF(AND(H559&gt;=10,H559&lt;50),H559-3,H559)))))</f>
        <v/>
      </c>
      <c r="K559" s="57" t="n"/>
    </row>
    <row r="560" ht="15" customHeight="1">
      <c r="A560" s="10" t="n"/>
      <c r="B560" s="2" t="n">
        <v>557</v>
      </c>
      <c r="C560" s="3" t="n"/>
      <c r="D560" s="3" t="n"/>
      <c r="E560" s="2" t="n"/>
      <c r="F560" s="5">
        <f>IF(E560="","",E560*1000)</f>
        <v/>
      </c>
      <c r="G560" s="23" t="n"/>
      <c r="H560" s="56">
        <f>IF(I560&lt;&gt;"",I560,IF(G560="","",IF(ROUND(MOD(G560,1),1)&lt;=0.4,INT(G560)-1,INT(G560))))</f>
        <v/>
      </c>
      <c r="I560" s="56" t="n"/>
      <c r="J560" s="57">
        <f>IF(H560="","",IF(LOWER(A560)="gl",H560-2,IF(H560&gt;=60,H560-5,IF(AND(H560&gt;=50,H560&lt;60),H560-4,IF(AND(H560&gt;=10,H560&lt;50),H560-3,H560)))))</f>
        <v/>
      </c>
      <c r="K560" s="57" t="n"/>
    </row>
    <row r="561" ht="15" customHeight="1">
      <c r="A561" s="10" t="n"/>
      <c r="B561" s="2" t="n">
        <v>558</v>
      </c>
      <c r="C561" s="3" t="n"/>
      <c r="D561" s="3" t="n"/>
      <c r="E561" s="2" t="n"/>
      <c r="F561" s="5">
        <f>IF(E561="","",E561*1000)</f>
        <v/>
      </c>
      <c r="G561" s="23" t="n"/>
      <c r="H561" s="56">
        <f>IF(I561&lt;&gt;"",I561,IF(G561="","",IF(ROUND(MOD(G561,1),1)&lt;=0.4,INT(G561)-1,INT(G561))))</f>
        <v/>
      </c>
      <c r="I561" s="56" t="n"/>
      <c r="J561" s="57">
        <f>IF(H561="","",IF(LOWER(A561)="gl",H561-2,IF(H561&gt;=60,H561-5,IF(AND(H561&gt;=50,H561&lt;60),H561-4,IF(AND(H561&gt;=10,H561&lt;50),H561-3,H561)))))</f>
        <v/>
      </c>
      <c r="K561" s="57" t="n"/>
    </row>
    <row r="562" ht="15" customHeight="1">
      <c r="A562" s="10" t="n"/>
      <c r="B562" s="2" t="n">
        <v>559</v>
      </c>
      <c r="C562" s="3" t="n"/>
      <c r="D562" s="3" t="n"/>
      <c r="E562" s="2" t="n"/>
      <c r="F562" s="5">
        <f>IF(E562="","",E562*1000)</f>
        <v/>
      </c>
      <c r="G562" s="23" t="n"/>
      <c r="H562" s="56">
        <f>IF(I562&lt;&gt;"",I562,IF(G562="","",IF(ROUND(MOD(G562,1),1)&lt;=0.4,INT(G562)-1,INT(G562))))</f>
        <v/>
      </c>
      <c r="I562" s="56" t="n"/>
      <c r="J562" s="57">
        <f>IF(H562="","",IF(LOWER(A562)="gl",H562-2,IF(H562&gt;=60,H562-5,IF(AND(H562&gt;=50,H562&lt;60),H562-4,IF(AND(H562&gt;=10,H562&lt;50),H562-3,H562)))))</f>
        <v/>
      </c>
      <c r="K562" s="57" t="n"/>
    </row>
    <row r="563" ht="15" customHeight="1">
      <c r="A563" s="10" t="n"/>
      <c r="B563" s="2" t="n">
        <v>560</v>
      </c>
      <c r="C563" s="3" t="n"/>
      <c r="D563" s="3" t="n"/>
      <c r="E563" s="2" t="n"/>
      <c r="F563" s="5">
        <f>IF(E563="","",E563*1000)</f>
        <v/>
      </c>
      <c r="G563" s="23" t="n"/>
      <c r="H563" s="56">
        <f>IF(I563&lt;&gt;"",I563,IF(G563="","",IF(ROUND(MOD(G563,1),1)&lt;=0.4,INT(G563)-1,INT(G563))))</f>
        <v/>
      </c>
      <c r="I563" s="56" t="n"/>
      <c r="J563" s="57">
        <f>IF(H563="","",IF(LOWER(A563)="gl",H563-2,IF(H563&gt;=60,H563-5,IF(AND(H563&gt;=50,H563&lt;60),H563-4,IF(AND(H563&gt;=10,H563&lt;50),H563-3,H563)))))</f>
        <v/>
      </c>
      <c r="K563" s="57" t="n"/>
    </row>
    <row r="564" ht="15" customHeight="1">
      <c r="A564" s="10" t="n"/>
      <c r="B564" s="2" t="n">
        <v>561</v>
      </c>
      <c r="C564" s="3" t="n"/>
      <c r="D564" s="3" t="n"/>
      <c r="E564" s="2" t="n"/>
      <c r="F564" s="5">
        <f>IF(E564="","",E564*1000)</f>
        <v/>
      </c>
      <c r="G564" s="23" t="n"/>
      <c r="H564" s="56">
        <f>IF(I564&lt;&gt;"",I564,IF(G564="","",IF(ROUND(MOD(G564,1),1)&lt;=0.4,INT(G564)-1,INT(G564))))</f>
        <v/>
      </c>
      <c r="I564" s="56" t="n"/>
      <c r="J564" s="57">
        <f>IF(H564="","",IF(LOWER(A564)="gl",H564-2,IF(H564&gt;=60,H564-5,IF(AND(H564&gt;=50,H564&lt;60),H564-4,IF(AND(H564&gt;=10,H564&lt;50),H564-3,H564)))))</f>
        <v/>
      </c>
      <c r="K564" s="57" t="n"/>
    </row>
    <row r="565" ht="15" customHeight="1">
      <c r="A565" s="10" t="n"/>
      <c r="B565" s="2" t="n">
        <v>562</v>
      </c>
      <c r="C565" s="3" t="n"/>
      <c r="D565" s="3" t="n"/>
      <c r="E565" s="2" t="n"/>
      <c r="F565" s="5">
        <f>IF(E565="","",E565*1000)</f>
        <v/>
      </c>
      <c r="G565" s="23" t="n"/>
      <c r="H565" s="56">
        <f>IF(I565&lt;&gt;"",I565,IF(G565="","",IF(ROUND(MOD(G565,1),1)&lt;=0.4,INT(G565)-1,INT(G565))))</f>
        <v/>
      </c>
      <c r="I565" s="56" t="n"/>
      <c r="J565" s="57">
        <f>IF(H565="","",IF(LOWER(A565)="gl",H565-2,IF(H565&gt;=60,H565-5,IF(AND(H565&gt;=50,H565&lt;60),H565-4,IF(AND(H565&gt;=10,H565&lt;50),H565-3,H565)))))</f>
        <v/>
      </c>
      <c r="K565" s="57" t="n"/>
    </row>
    <row r="566" ht="15" customHeight="1">
      <c r="A566" s="10" t="n"/>
      <c r="B566" s="2" t="n">
        <v>563</v>
      </c>
      <c r="C566" s="3" t="n"/>
      <c r="D566" s="3" t="n"/>
      <c r="E566" s="2" t="n"/>
      <c r="F566" s="5">
        <f>IF(E566="","",E566*1000)</f>
        <v/>
      </c>
      <c r="G566" s="23" t="n"/>
      <c r="H566" s="56">
        <f>IF(I566&lt;&gt;"",I566,IF(G566="","",IF(ROUND(MOD(G566,1),1)&lt;=0.4,INT(G566)-1,INT(G566))))</f>
        <v/>
      </c>
      <c r="I566" s="56" t="n"/>
      <c r="J566" s="57">
        <f>IF(H566="","",IF(LOWER(A566)="gl",H566-2,IF(H566&gt;=60,H566-5,IF(AND(H566&gt;=50,H566&lt;60),H566-4,IF(AND(H566&gt;=10,H566&lt;50),H566-3,H566)))))</f>
        <v/>
      </c>
      <c r="K566" s="57" t="n"/>
    </row>
    <row r="567" ht="15" customHeight="1">
      <c r="A567" s="10" t="n"/>
      <c r="B567" s="2" t="n">
        <v>564</v>
      </c>
      <c r="C567" s="3" t="n"/>
      <c r="D567" s="3" t="n"/>
      <c r="E567" s="2" t="n"/>
      <c r="F567" s="5">
        <f>IF(E567="","",E567*1000)</f>
        <v/>
      </c>
      <c r="G567" s="23" t="n"/>
      <c r="H567" s="56">
        <f>IF(I567&lt;&gt;"",I567,IF(G567="","",IF(ROUND(MOD(G567,1),1)&lt;=0.4,INT(G567)-1,INT(G567))))</f>
        <v/>
      </c>
      <c r="I567" s="56" t="n"/>
      <c r="J567" s="57">
        <f>IF(H567="","",IF(LOWER(A567)="gl",H567-2,IF(H567&gt;=60,H567-5,IF(AND(H567&gt;=50,H567&lt;60),H567-4,IF(AND(H567&gt;=10,H567&lt;50),H567-3,H567)))))</f>
        <v/>
      </c>
      <c r="K567" s="57" t="n"/>
    </row>
    <row r="568" ht="15" customHeight="1">
      <c r="A568" s="10" t="n"/>
      <c r="B568" s="2" t="n">
        <v>565</v>
      </c>
      <c r="C568" s="3" t="n"/>
      <c r="D568" s="3" t="n"/>
      <c r="E568" s="2" t="n"/>
      <c r="F568" s="5">
        <f>IF(E568="","",E568*1000)</f>
        <v/>
      </c>
      <c r="G568" s="23" t="n"/>
      <c r="H568" s="56">
        <f>IF(I568&lt;&gt;"",I568,IF(G568="","",IF(ROUND(MOD(G568,1),1)&lt;=0.4,INT(G568)-1,INT(G568))))</f>
        <v/>
      </c>
      <c r="I568" s="56" t="n"/>
      <c r="J568" s="57">
        <f>IF(H568="","",IF(LOWER(A568)="gl",H568-2,IF(H568&gt;=60,H568-5,IF(AND(H568&gt;=50,H568&lt;60),H568-4,IF(AND(H568&gt;=10,H568&lt;50),H568-3,H568)))))</f>
        <v/>
      </c>
      <c r="K568" s="57" t="n"/>
    </row>
    <row r="569" ht="15" customHeight="1">
      <c r="A569" s="10" t="n"/>
      <c r="B569" s="2" t="n">
        <v>566</v>
      </c>
      <c r="C569" s="3" t="n"/>
      <c r="D569" s="3" t="n"/>
      <c r="E569" s="2" t="n"/>
      <c r="F569" s="5">
        <f>IF(E569="","",E569*1000)</f>
        <v/>
      </c>
      <c r="G569" s="23" t="n"/>
      <c r="H569" s="56">
        <f>IF(I569&lt;&gt;"",I569,IF(G569="","",IF(ROUND(MOD(G569,1),1)&lt;=0.4,INT(G569)-1,INT(G569))))</f>
        <v/>
      </c>
      <c r="I569" s="56" t="n"/>
      <c r="J569" s="57">
        <f>IF(H569="","",IF(LOWER(A569)="gl",H569-2,IF(H569&gt;=60,H569-5,IF(AND(H569&gt;=50,H569&lt;60),H569-4,IF(AND(H569&gt;=10,H569&lt;50),H569-3,H569)))))</f>
        <v/>
      </c>
      <c r="K569" s="57" t="n"/>
    </row>
    <row r="570" ht="15" customHeight="1">
      <c r="A570" s="10" t="n"/>
      <c r="B570" s="2" t="n">
        <v>567</v>
      </c>
      <c r="C570" s="3" t="n"/>
      <c r="D570" s="3" t="n"/>
      <c r="E570" s="2" t="n"/>
      <c r="F570" s="5">
        <f>IF(E570="","",E570*1000)</f>
        <v/>
      </c>
      <c r="G570" s="23" t="n"/>
      <c r="H570" s="56">
        <f>IF(I570&lt;&gt;"",I570,IF(G570="","",IF(ROUND(MOD(G570,1),1)&lt;=0.4,INT(G570)-1,INT(G570))))</f>
        <v/>
      </c>
      <c r="I570" s="56" t="n"/>
      <c r="J570" s="57">
        <f>IF(H570="","",IF(LOWER(A570)="gl",H570-2,IF(H570&gt;=60,H570-5,IF(AND(H570&gt;=50,H570&lt;60),H570-4,IF(AND(H570&gt;=10,H570&lt;50),H570-3,H570)))))</f>
        <v/>
      </c>
      <c r="K570" s="57" t="n"/>
    </row>
    <row r="571" ht="15" customHeight="1">
      <c r="A571" s="10" t="n"/>
      <c r="B571" s="2" t="n">
        <v>568</v>
      </c>
      <c r="C571" s="3" t="n"/>
      <c r="D571" s="3" t="n"/>
      <c r="E571" s="2" t="n"/>
      <c r="F571" s="5">
        <f>IF(E571="","",E571*1000)</f>
        <v/>
      </c>
      <c r="G571" s="23" t="n"/>
      <c r="H571" s="56">
        <f>IF(I571&lt;&gt;"",I571,IF(G571="","",IF(ROUND(MOD(G571,1),1)&lt;=0.4,INT(G571)-1,INT(G571))))</f>
        <v/>
      </c>
      <c r="I571" s="56" t="n"/>
      <c r="J571" s="57">
        <f>IF(H571="","",IF(LOWER(A571)="gl",H571-2,IF(H571&gt;=60,H571-5,IF(AND(H571&gt;=50,H571&lt;60),H571-4,IF(AND(H571&gt;=10,H571&lt;50),H571-3,H571)))))</f>
        <v/>
      </c>
      <c r="K571" s="57" t="n"/>
    </row>
    <row r="572" ht="15" customHeight="1">
      <c r="A572" s="10" t="n"/>
      <c r="B572" s="2" t="n">
        <v>569</v>
      </c>
      <c r="C572" s="3" t="n"/>
      <c r="D572" s="3" t="n"/>
      <c r="E572" s="2" t="n"/>
      <c r="F572" s="5">
        <f>IF(E572="","",E572*1000)</f>
        <v/>
      </c>
      <c r="G572" s="23" t="n"/>
      <c r="H572" s="56">
        <f>IF(I572&lt;&gt;"",I572,IF(G572="","",IF(ROUND(MOD(G572,1),1)&lt;=0.4,INT(G572)-1,INT(G572))))</f>
        <v/>
      </c>
      <c r="I572" s="56" t="n"/>
      <c r="J572" s="57">
        <f>IF(H572="","",IF(LOWER(A572)="gl",H572-2,IF(H572&gt;=60,H572-5,IF(AND(H572&gt;=50,H572&lt;60),H572-4,IF(AND(H572&gt;=10,H572&lt;50),H572-3,H572)))))</f>
        <v/>
      </c>
      <c r="K572" s="57" t="n"/>
    </row>
    <row r="573" ht="15" customHeight="1">
      <c r="A573" s="10" t="n"/>
      <c r="B573" s="2" t="n">
        <v>570</v>
      </c>
      <c r="C573" s="3" t="n"/>
      <c r="D573" s="3" t="n"/>
      <c r="E573" s="2" t="n"/>
      <c r="F573" s="5">
        <f>IF(E573="","",E573*1000)</f>
        <v/>
      </c>
      <c r="G573" s="23" t="n"/>
      <c r="H573" s="56">
        <f>IF(I573&lt;&gt;"",I573,IF(G573="","",IF(ROUND(MOD(G573,1),1)&lt;=0.4,INT(G573)-1,INT(G573))))</f>
        <v/>
      </c>
      <c r="I573" s="56" t="n"/>
      <c r="J573" s="57">
        <f>IF(H573="","",IF(LOWER(A573)="gl",H573-2,IF(H573&gt;=60,H573-5,IF(AND(H573&gt;=50,H573&lt;60),H573-4,IF(AND(H573&gt;=10,H573&lt;50),H573-3,H573)))))</f>
        <v/>
      </c>
      <c r="K573" s="57" t="n"/>
    </row>
    <row r="574" ht="15" customHeight="1">
      <c r="A574" s="10" t="n"/>
      <c r="B574" s="2" t="n">
        <v>571</v>
      </c>
      <c r="C574" s="3" t="n"/>
      <c r="D574" s="3" t="n"/>
      <c r="E574" s="2" t="n"/>
      <c r="F574" s="5">
        <f>IF(E574="","",E574*1000)</f>
        <v/>
      </c>
      <c r="G574" s="23" t="n"/>
      <c r="H574" s="56">
        <f>IF(I574&lt;&gt;"",I574,IF(G574="","",IF(ROUND(MOD(G574,1),1)&lt;=0.4,INT(G574)-1,INT(G574))))</f>
        <v/>
      </c>
      <c r="I574" s="56" t="n"/>
      <c r="J574" s="57">
        <f>IF(H574="","",IF(LOWER(A574)="gl",H574-2,IF(H574&gt;=60,H574-5,IF(AND(H574&gt;=50,H574&lt;60),H574-4,IF(AND(H574&gt;=10,H574&lt;50),H574-3,H574)))))</f>
        <v/>
      </c>
      <c r="K574" s="57" t="n"/>
    </row>
    <row r="575" ht="15" customHeight="1">
      <c r="A575" s="10" t="n"/>
      <c r="B575" s="2" t="n">
        <v>572</v>
      </c>
      <c r="C575" s="3" t="n"/>
      <c r="D575" s="3" t="n"/>
      <c r="E575" s="2" t="n"/>
      <c r="F575" s="5">
        <f>IF(E575="","",E575*1000)</f>
        <v/>
      </c>
      <c r="G575" s="23" t="n"/>
      <c r="H575" s="56">
        <f>IF(I575&lt;&gt;"",I575,IF(G575="","",IF(ROUND(MOD(G575,1),1)&lt;=0.4,INT(G575)-1,INT(G575))))</f>
        <v/>
      </c>
      <c r="I575" s="56" t="n"/>
      <c r="J575" s="57">
        <f>IF(H575="","",IF(LOWER(A575)="gl",H575-2,IF(H575&gt;=60,H575-5,IF(AND(H575&gt;=50,H575&lt;60),H575-4,IF(AND(H575&gt;=10,H575&lt;50),H575-3,H575)))))</f>
        <v/>
      </c>
      <c r="K575" s="57" t="n"/>
    </row>
    <row r="576" ht="15" customHeight="1">
      <c r="A576" s="10" t="n"/>
      <c r="B576" s="2" t="n">
        <v>573</v>
      </c>
      <c r="C576" s="3" t="n"/>
      <c r="D576" s="3" t="n"/>
      <c r="E576" s="2" t="n"/>
      <c r="F576" s="5">
        <f>IF(E576="","",E576*1000)</f>
        <v/>
      </c>
      <c r="G576" s="23" t="n"/>
      <c r="H576" s="56">
        <f>IF(I576&lt;&gt;"",I576,IF(G576="","",IF(ROUND(MOD(G576,1),1)&lt;=0.4,INT(G576)-1,INT(G576))))</f>
        <v/>
      </c>
      <c r="I576" s="56" t="n"/>
      <c r="J576" s="57">
        <f>IF(H576="","",IF(LOWER(A576)="gl",H576-2,IF(H576&gt;=60,H576-5,IF(AND(H576&gt;=50,H576&lt;60),H576-4,IF(AND(H576&gt;=10,H576&lt;50),H576-3,H576)))))</f>
        <v/>
      </c>
      <c r="K576" s="57" t="n"/>
    </row>
    <row r="577" ht="15" customHeight="1">
      <c r="A577" s="10" t="n"/>
      <c r="B577" s="2" t="n">
        <v>574</v>
      </c>
      <c r="C577" s="3" t="n"/>
      <c r="D577" s="3" t="n"/>
      <c r="E577" s="2" t="n"/>
      <c r="F577" s="5">
        <f>IF(E577="","",E577*1000)</f>
        <v/>
      </c>
      <c r="G577" s="23" t="n"/>
      <c r="H577" s="56">
        <f>IF(I577&lt;&gt;"",I577,IF(G577="","",IF(ROUND(MOD(G577,1),1)&lt;=0.4,INT(G577)-1,INT(G577))))</f>
        <v/>
      </c>
      <c r="I577" s="56" t="n"/>
      <c r="J577" s="57">
        <f>IF(H577="","",IF(LOWER(A577)="gl",H577-2,IF(H577&gt;=60,H577-5,IF(AND(H577&gt;=50,H577&lt;60),H577-4,IF(AND(H577&gt;=10,H577&lt;50),H577-3,H577)))))</f>
        <v/>
      </c>
      <c r="K577" s="57" t="n"/>
    </row>
    <row r="578" ht="15" customHeight="1">
      <c r="A578" s="10" t="n"/>
      <c r="B578" s="2" t="n">
        <v>575</v>
      </c>
      <c r="C578" s="3" t="n"/>
      <c r="D578" s="3" t="n"/>
      <c r="E578" s="2" t="n"/>
      <c r="F578" s="5">
        <f>IF(E578="","",E578*1000)</f>
        <v/>
      </c>
      <c r="G578" s="23" t="n"/>
      <c r="H578" s="56">
        <f>IF(I578&lt;&gt;"",I578,IF(G578="","",IF(ROUND(MOD(G578,1),1)&lt;=0.4,INT(G578)-1,INT(G578))))</f>
        <v/>
      </c>
      <c r="I578" s="56" t="n"/>
      <c r="J578" s="57">
        <f>IF(H578="","",IF(LOWER(A578)="gl",H578-2,IF(H578&gt;=60,H578-5,IF(AND(H578&gt;=50,H578&lt;60),H578-4,IF(AND(H578&gt;=10,H578&lt;50),H578-3,H578)))))</f>
        <v/>
      </c>
      <c r="K578" s="57" t="n"/>
    </row>
    <row r="579" ht="15" customHeight="1">
      <c r="A579" s="10" t="n"/>
      <c r="B579" s="2" t="n">
        <v>576</v>
      </c>
      <c r="C579" s="3" t="n"/>
      <c r="D579" s="3" t="n"/>
      <c r="E579" s="2" t="n"/>
      <c r="F579" s="5">
        <f>IF(E579="","",E579*1000)</f>
        <v/>
      </c>
      <c r="G579" s="23" t="n"/>
      <c r="H579" s="56">
        <f>IF(I579&lt;&gt;"",I579,IF(G579="","",IF(ROUND(MOD(G579,1),1)&lt;=0.4,INT(G579)-1,INT(G579))))</f>
        <v/>
      </c>
      <c r="I579" s="56" t="n"/>
      <c r="J579" s="57">
        <f>IF(H579="","",IF(LOWER(A579)="gl",H579-2,IF(H579&gt;=60,H579-5,IF(AND(H579&gt;=50,H579&lt;60),H579-4,IF(AND(H579&gt;=10,H579&lt;50),H579-3,H579)))))</f>
        <v/>
      </c>
      <c r="K579" s="57" t="n"/>
    </row>
    <row r="580" ht="15" customHeight="1">
      <c r="A580" s="10" t="n"/>
      <c r="B580" s="2" t="n">
        <v>577</v>
      </c>
      <c r="C580" s="3" t="n"/>
      <c r="D580" s="3" t="n"/>
      <c r="E580" s="2" t="n"/>
      <c r="F580" s="5">
        <f>IF(E580="","",E580*1000)</f>
        <v/>
      </c>
      <c r="G580" s="23" t="n"/>
      <c r="H580" s="56">
        <f>IF(I580&lt;&gt;"",I580,IF(G580="","",IF(ROUND(MOD(G580,1),1)&lt;=0.4,INT(G580)-1,INT(G580))))</f>
        <v/>
      </c>
      <c r="I580" s="56" t="n"/>
      <c r="J580" s="57">
        <f>IF(H580="","",IF(LOWER(A580)="gl",H580-2,IF(H580&gt;=60,H580-5,IF(AND(H580&gt;=50,H580&lt;60),H580-4,IF(AND(H580&gt;=10,H580&lt;50),H580-3,H580)))))</f>
        <v/>
      </c>
      <c r="K580" s="57" t="n"/>
    </row>
    <row r="581" ht="15" customHeight="1">
      <c r="A581" s="10" t="n"/>
      <c r="B581" s="2" t="n">
        <v>578</v>
      </c>
      <c r="C581" s="3" t="n"/>
      <c r="D581" s="3" t="n"/>
      <c r="E581" s="2" t="n"/>
      <c r="F581" s="5">
        <f>IF(E581="","",E581*1000)</f>
        <v/>
      </c>
      <c r="G581" s="23" t="n"/>
      <c r="H581" s="56">
        <f>IF(I581&lt;&gt;"",I581,IF(G581="","",IF(ROUND(MOD(G581,1),1)&lt;=0.4,INT(G581)-1,INT(G581))))</f>
        <v/>
      </c>
      <c r="I581" s="56" t="n"/>
      <c r="J581" s="57">
        <f>IF(H581="","",IF(LOWER(A581)="gl",H581-2,IF(H581&gt;=60,H581-5,IF(AND(H581&gt;=50,H581&lt;60),H581-4,IF(AND(H581&gt;=10,H581&lt;50),H581-3,H581)))))</f>
        <v/>
      </c>
      <c r="K581" s="57" t="n"/>
    </row>
    <row r="582" ht="15" customHeight="1">
      <c r="A582" s="10" t="n"/>
      <c r="B582" s="2" t="n">
        <v>579</v>
      </c>
      <c r="C582" s="3" t="n"/>
      <c r="D582" s="3" t="n"/>
      <c r="E582" s="2" t="n"/>
      <c r="F582" s="5">
        <f>IF(E582="","",E582*1000)</f>
        <v/>
      </c>
      <c r="G582" s="23" t="n"/>
      <c r="H582" s="56">
        <f>IF(I582&lt;&gt;"",I582,IF(G582="","",IF(ROUND(MOD(G582,1),1)&lt;=0.4,INT(G582)-1,INT(G582))))</f>
        <v/>
      </c>
      <c r="I582" s="56" t="n"/>
      <c r="J582" s="57">
        <f>IF(H582="","",IF(LOWER(A582)="gl",H582-2,IF(H582&gt;=60,H582-5,IF(AND(H582&gt;=50,H582&lt;60),H582-4,IF(AND(H582&gt;=10,H582&lt;50),H582-3,H582)))))</f>
        <v/>
      </c>
      <c r="K582" s="57" t="n"/>
    </row>
    <row r="583" ht="15" customHeight="1">
      <c r="A583" s="10" t="n"/>
      <c r="B583" s="2" t="n">
        <v>580</v>
      </c>
      <c r="C583" s="3" t="n"/>
      <c r="D583" s="3" t="n"/>
      <c r="E583" s="2" t="n"/>
      <c r="F583" s="5">
        <f>IF(E583="","",E583*1000)</f>
        <v/>
      </c>
      <c r="G583" s="23" t="n"/>
      <c r="H583" s="56">
        <f>IF(I583&lt;&gt;"",I583,IF(G583="","",IF(ROUND(MOD(G583,1),1)&lt;=0.4,INT(G583)-1,INT(G583))))</f>
        <v/>
      </c>
      <c r="I583" s="56" t="n"/>
      <c r="J583" s="57">
        <f>IF(H583="","",IF(LOWER(A583)="gl",H583-2,IF(H583&gt;=60,H583-5,IF(AND(H583&gt;=50,H583&lt;60),H583-4,IF(AND(H583&gt;=10,H583&lt;50),H583-3,H583)))))</f>
        <v/>
      </c>
      <c r="K583" s="57" t="n"/>
    </row>
    <row r="584" ht="15" customHeight="1">
      <c r="A584" s="10" t="n"/>
      <c r="B584" s="2" t="n">
        <v>581</v>
      </c>
      <c r="C584" s="3" t="n"/>
      <c r="D584" s="3" t="n"/>
      <c r="E584" s="2" t="n"/>
      <c r="F584" s="5">
        <f>IF(E584="","",E584*1000)</f>
        <v/>
      </c>
      <c r="G584" s="23" t="n"/>
      <c r="H584" s="56">
        <f>IF(I584&lt;&gt;"",I584,IF(G584="","",IF(ROUND(MOD(G584,1),1)&lt;=0.4,INT(G584)-1,INT(G584))))</f>
        <v/>
      </c>
      <c r="I584" s="56" t="n"/>
      <c r="J584" s="57">
        <f>IF(H584="","",IF(LOWER(A584)="gl",H584-2,IF(H584&gt;=60,H584-5,IF(AND(H584&gt;=50,H584&lt;60),H584-4,IF(AND(H584&gt;=10,H584&lt;50),H584-3,H584)))))</f>
        <v/>
      </c>
      <c r="K584" s="57" t="n"/>
    </row>
    <row r="585" ht="15" customHeight="1">
      <c r="A585" s="10" t="n"/>
      <c r="B585" s="2" t="n">
        <v>582</v>
      </c>
      <c r="C585" s="3" t="n"/>
      <c r="D585" s="3" t="n"/>
      <c r="E585" s="2" t="n"/>
      <c r="F585" s="5">
        <f>IF(E585="","",E585*1000)</f>
        <v/>
      </c>
      <c r="G585" s="23" t="n"/>
      <c r="H585" s="56">
        <f>IF(I585&lt;&gt;"",I585,IF(G585="","",IF(ROUND(MOD(G585,1),1)&lt;=0.4,INT(G585)-1,INT(G585))))</f>
        <v/>
      </c>
      <c r="I585" s="56" t="n"/>
      <c r="J585" s="57">
        <f>IF(H585="","",IF(LOWER(A585)="gl",H585-2,IF(H585&gt;=60,H585-5,IF(AND(H585&gt;=50,H585&lt;60),H585-4,IF(AND(H585&gt;=10,H585&lt;50),H585-3,H585)))))</f>
        <v/>
      </c>
      <c r="K585" s="57" t="n"/>
    </row>
    <row r="586" ht="15" customHeight="1">
      <c r="A586" s="10" t="n"/>
      <c r="B586" s="2" t="n">
        <v>583</v>
      </c>
      <c r="C586" s="3" t="n"/>
      <c r="D586" s="3" t="n"/>
      <c r="E586" s="2" t="n"/>
      <c r="F586" s="5">
        <f>IF(E586="","",E586*1000)</f>
        <v/>
      </c>
      <c r="G586" s="23" t="n"/>
      <c r="H586" s="56">
        <f>IF(I586&lt;&gt;"",I586,IF(G586="","",IF(ROUND(MOD(G586,1),1)&lt;=0.4,INT(G586)-1,INT(G586))))</f>
        <v/>
      </c>
      <c r="I586" s="56" t="n"/>
      <c r="J586" s="57">
        <f>IF(H586="","",IF(LOWER(A586)="gl",H586-2,IF(H586&gt;=60,H586-5,IF(AND(H586&gt;=50,H586&lt;60),H586-4,IF(AND(H586&gt;=10,H586&lt;50),H586-3,H586)))))</f>
        <v/>
      </c>
      <c r="K586" s="57" t="n"/>
    </row>
    <row r="587" ht="15" customHeight="1">
      <c r="A587" s="10" t="n"/>
      <c r="B587" s="2" t="n">
        <v>584</v>
      </c>
      <c r="C587" s="3" t="n"/>
      <c r="D587" s="3" t="n"/>
      <c r="E587" s="2" t="n"/>
      <c r="F587" s="5">
        <f>IF(E587="","",E587*1000)</f>
        <v/>
      </c>
      <c r="G587" s="23" t="n"/>
      <c r="H587" s="56">
        <f>IF(I587&lt;&gt;"",I587,IF(G587="","",IF(ROUND(MOD(G587,1),1)&lt;=0.4,INT(G587)-1,INT(G587))))</f>
        <v/>
      </c>
      <c r="I587" s="56" t="n"/>
      <c r="J587" s="57">
        <f>IF(H587="","",IF(LOWER(A587)="gl",H587-2,IF(H587&gt;=60,H587-5,IF(AND(H587&gt;=50,H587&lt;60),H587-4,IF(AND(H587&gt;=10,H587&lt;50),H587-3,H587)))))</f>
        <v/>
      </c>
      <c r="K587" s="57" t="n"/>
    </row>
    <row r="588" ht="15" customHeight="1">
      <c r="A588" s="10" t="n"/>
      <c r="B588" s="2" t="n">
        <v>585</v>
      </c>
      <c r="C588" s="3" t="n"/>
      <c r="D588" s="3" t="n"/>
      <c r="E588" s="2" t="n"/>
      <c r="F588" s="5">
        <f>IF(E588="","",E588*1000)</f>
        <v/>
      </c>
      <c r="G588" s="23" t="n"/>
      <c r="H588" s="56">
        <f>IF(I588&lt;&gt;"",I588,IF(G588="","",IF(ROUND(MOD(G588,1),1)&lt;=0.4,INT(G588)-1,INT(G588))))</f>
        <v/>
      </c>
      <c r="I588" s="56" t="n"/>
      <c r="J588" s="57">
        <f>IF(H588="","",IF(LOWER(A588)="gl",H588-2,IF(H588&gt;=60,H588-5,IF(AND(H588&gt;=50,H588&lt;60),H588-4,IF(AND(H588&gt;=10,H588&lt;50),H588-3,H588)))))</f>
        <v/>
      </c>
      <c r="K588" s="57" t="n"/>
    </row>
    <row r="589" ht="15" customHeight="1">
      <c r="A589" s="10" t="n"/>
      <c r="B589" s="2" t="n">
        <v>586</v>
      </c>
      <c r="C589" s="3" t="n"/>
      <c r="D589" s="3" t="n"/>
      <c r="E589" s="2" t="n"/>
      <c r="F589" s="5">
        <f>IF(E589="","",E589*1000)</f>
        <v/>
      </c>
      <c r="G589" s="23" t="n"/>
      <c r="H589" s="56">
        <f>IF(I589&lt;&gt;"",I589,IF(G589="","",IF(ROUND(MOD(G589,1),1)&lt;=0.4,INT(G589)-1,INT(G589))))</f>
        <v/>
      </c>
      <c r="I589" s="56" t="n"/>
      <c r="J589" s="57">
        <f>IF(H589="","",IF(LOWER(A589)="gl",H589-2,IF(H589&gt;=60,H589-5,IF(AND(H589&gt;=50,H589&lt;60),H589-4,IF(AND(H589&gt;=10,H589&lt;50),H589-3,H589)))))</f>
        <v/>
      </c>
      <c r="K589" s="57" t="n"/>
    </row>
    <row r="590" ht="15" customHeight="1">
      <c r="A590" s="10" t="n"/>
      <c r="B590" s="2" t="n">
        <v>587</v>
      </c>
      <c r="C590" s="3" t="n"/>
      <c r="D590" s="3" t="n"/>
      <c r="E590" s="2" t="n"/>
      <c r="F590" s="5">
        <f>IF(E590="","",E590*1000)</f>
        <v/>
      </c>
      <c r="G590" s="23" t="n"/>
      <c r="H590" s="56">
        <f>IF(I590&lt;&gt;"",I590,IF(G590="","",IF(ROUND(MOD(G590,1),1)&lt;=0.4,INT(G590)-1,INT(G590))))</f>
        <v/>
      </c>
      <c r="I590" s="56" t="n"/>
      <c r="J590" s="57">
        <f>IF(H590="","",IF(LOWER(A590)="gl",H590-2,IF(H590&gt;=60,H590-5,IF(AND(H590&gt;=50,H590&lt;60),H590-4,IF(AND(H590&gt;=10,H590&lt;50),H590-3,H590)))))</f>
        <v/>
      </c>
      <c r="K590" s="57" t="n"/>
    </row>
    <row r="591" ht="15" customHeight="1">
      <c r="A591" s="10" t="n"/>
      <c r="B591" s="2" t="n">
        <v>588</v>
      </c>
      <c r="C591" s="3" t="n"/>
      <c r="D591" s="3" t="n"/>
      <c r="E591" s="2" t="n"/>
      <c r="F591" s="5">
        <f>IF(E591="","",E591*1000)</f>
        <v/>
      </c>
      <c r="G591" s="23" t="n"/>
      <c r="H591" s="56">
        <f>IF(I591&lt;&gt;"",I591,IF(G591="","",IF(ROUND(MOD(G591,1),1)&lt;=0.4,INT(G591)-1,INT(G591))))</f>
        <v/>
      </c>
      <c r="I591" s="56" t="n"/>
      <c r="J591" s="57">
        <f>IF(H591="","",IF(LOWER(A591)="gl",H591-2,IF(H591&gt;=60,H591-5,IF(AND(H591&gt;=50,H591&lt;60),H591-4,IF(AND(H591&gt;=10,H591&lt;50),H591-3,H591)))))</f>
        <v/>
      </c>
      <c r="K591" s="57" t="n"/>
    </row>
    <row r="592" ht="15" customHeight="1">
      <c r="A592" s="10" t="n"/>
      <c r="B592" s="2" t="n">
        <v>589</v>
      </c>
      <c r="C592" s="3" t="n"/>
      <c r="D592" s="3" t="n"/>
      <c r="E592" s="2" t="n"/>
      <c r="F592" s="5">
        <f>IF(E592="","",E592*1000)</f>
        <v/>
      </c>
      <c r="G592" s="23" t="n"/>
      <c r="H592" s="56">
        <f>IF(I592&lt;&gt;"",I592,IF(G592="","",IF(ROUND(MOD(G592,1),1)&lt;=0.4,INT(G592)-1,INT(G592))))</f>
        <v/>
      </c>
      <c r="I592" s="56" t="n"/>
      <c r="J592" s="57">
        <f>IF(H592="","",IF(LOWER(A592)="gl",H592-2,IF(H592&gt;=60,H592-5,IF(AND(H592&gt;=50,H592&lt;60),H592-4,IF(AND(H592&gt;=10,H592&lt;50),H592-3,H592)))))</f>
        <v/>
      </c>
      <c r="K592" s="57" t="n"/>
    </row>
    <row r="593" ht="15" customHeight="1">
      <c r="A593" s="10" t="n"/>
      <c r="B593" s="2" t="n">
        <v>590</v>
      </c>
      <c r="C593" s="3" t="n"/>
      <c r="D593" s="3" t="n"/>
      <c r="E593" s="2" t="n"/>
      <c r="F593" s="5">
        <f>IF(E593="","",E593*1000)</f>
        <v/>
      </c>
      <c r="G593" s="23" t="n"/>
      <c r="H593" s="56">
        <f>IF(I593&lt;&gt;"",I593,IF(G593="","",IF(ROUND(MOD(G593,1),1)&lt;=0.4,INT(G593)-1,INT(G593))))</f>
        <v/>
      </c>
      <c r="I593" s="56" t="n"/>
      <c r="J593" s="57">
        <f>IF(H593="","",IF(LOWER(A593)="gl",H593-2,IF(H593&gt;=60,H593-5,IF(AND(H593&gt;=50,H593&lt;60),H593-4,IF(AND(H593&gt;=10,H593&lt;50),H593-3,H593)))))</f>
        <v/>
      </c>
      <c r="K593" s="57" t="n"/>
    </row>
    <row r="594" ht="15" customHeight="1">
      <c r="A594" s="10" t="n"/>
      <c r="B594" s="2" t="n">
        <v>591</v>
      </c>
      <c r="C594" s="3" t="n"/>
      <c r="D594" s="3" t="n"/>
      <c r="E594" s="2" t="n"/>
      <c r="F594" s="5">
        <f>IF(E594="","",E594*1000)</f>
        <v/>
      </c>
      <c r="G594" s="23" t="n"/>
      <c r="H594" s="56">
        <f>IF(I594&lt;&gt;"",I594,IF(G594="","",IF(ROUND(MOD(G594,1),1)&lt;=0.4,INT(G594)-1,INT(G594))))</f>
        <v/>
      </c>
      <c r="I594" s="56" t="n"/>
      <c r="J594" s="57">
        <f>IF(H594="","",IF(LOWER(A594)="gl",H594-2,IF(H594&gt;=60,H594-5,IF(AND(H594&gt;=50,H594&lt;60),H594-4,IF(AND(H594&gt;=10,H594&lt;50),H594-3,H594)))))</f>
        <v/>
      </c>
      <c r="K594" s="57" t="n"/>
    </row>
    <row r="595" ht="15" customHeight="1">
      <c r="A595" s="10" t="n"/>
      <c r="B595" s="2" t="n">
        <v>592</v>
      </c>
      <c r="C595" s="3" t="n"/>
      <c r="D595" s="3" t="n"/>
      <c r="E595" s="2" t="n"/>
      <c r="F595" s="5">
        <f>IF(E595="","",E595*1000)</f>
        <v/>
      </c>
      <c r="G595" s="23" t="n"/>
      <c r="H595" s="56">
        <f>IF(I595&lt;&gt;"",I595,IF(G595="","",IF(ROUND(MOD(G595,1),1)&lt;=0.4,INT(G595)-1,INT(G595))))</f>
        <v/>
      </c>
      <c r="I595" s="56" t="n"/>
      <c r="J595" s="57">
        <f>IF(H595="","",IF(LOWER(A595)="gl",H595-2,IF(H595&gt;=60,H595-5,IF(AND(H595&gt;=50,H595&lt;60),H595-4,IF(AND(H595&gt;=10,H595&lt;50),H595-3,H595)))))</f>
        <v/>
      </c>
      <c r="K595" s="57" t="n"/>
    </row>
    <row r="596" ht="15" customHeight="1">
      <c r="A596" s="10" t="n"/>
      <c r="B596" s="2" t="n">
        <v>593</v>
      </c>
      <c r="C596" s="3" t="n"/>
      <c r="D596" s="3" t="n"/>
      <c r="E596" s="2" t="n"/>
      <c r="F596" s="5">
        <f>IF(E596="","",E596*1000)</f>
        <v/>
      </c>
      <c r="G596" s="23" t="n"/>
      <c r="H596" s="56">
        <f>IF(I596&lt;&gt;"",I596,IF(G596="","",IF(ROUND(MOD(G596,1),1)&lt;=0.4,INT(G596)-1,INT(G596))))</f>
        <v/>
      </c>
      <c r="I596" s="56" t="n"/>
      <c r="J596" s="57">
        <f>IF(H596="","",IF(LOWER(A596)="gl",H596-2,IF(H596&gt;=60,H596-5,IF(AND(H596&gt;=50,H596&lt;60),H596-4,IF(AND(H596&gt;=10,H596&lt;50),H596-3,H596)))))</f>
        <v/>
      </c>
      <c r="K596" s="57" t="n"/>
    </row>
    <row r="597" ht="15" customHeight="1">
      <c r="A597" s="10" t="n"/>
      <c r="B597" s="2" t="n">
        <v>594</v>
      </c>
      <c r="C597" s="3" t="n"/>
      <c r="D597" s="3" t="n"/>
      <c r="E597" s="2" t="n"/>
      <c r="F597" s="5">
        <f>IF(E597="","",E597*1000)</f>
        <v/>
      </c>
      <c r="G597" s="23" t="n"/>
      <c r="H597" s="56">
        <f>IF(I597&lt;&gt;"",I597,IF(G597="","",IF(ROUND(MOD(G597,1),1)&lt;=0.4,INT(G597)-1,INT(G597))))</f>
        <v/>
      </c>
      <c r="I597" s="56" t="n"/>
      <c r="J597" s="57">
        <f>IF(H597="","",IF(LOWER(A597)="gl",H597-2,IF(H597&gt;=60,H597-5,IF(AND(H597&gt;=50,H597&lt;60),H597-4,IF(AND(H597&gt;=10,H597&lt;50),H597-3,H597)))))</f>
        <v/>
      </c>
      <c r="K597" s="57" t="n"/>
    </row>
    <row r="598" ht="15" customHeight="1">
      <c r="A598" s="10" t="n"/>
      <c r="B598" s="2" t="n">
        <v>595</v>
      </c>
      <c r="C598" s="3" t="n"/>
      <c r="D598" s="3" t="n"/>
      <c r="E598" s="2" t="n"/>
      <c r="F598" s="5">
        <f>IF(E598="","",E598*1000)</f>
        <v/>
      </c>
      <c r="G598" s="23" t="n"/>
      <c r="H598" s="56">
        <f>IF(I598&lt;&gt;"",I598,IF(G598="","",IF(ROUND(MOD(G598,1),1)&lt;=0.4,INT(G598)-1,INT(G598))))</f>
        <v/>
      </c>
      <c r="I598" s="56" t="n"/>
      <c r="J598" s="57">
        <f>IF(H598="","",IF(LOWER(A598)="gl",H598-2,IF(H598&gt;=60,H598-5,IF(AND(H598&gt;=50,H598&lt;60),H598-4,IF(AND(H598&gt;=10,H598&lt;50),H598-3,H598)))))</f>
        <v/>
      </c>
      <c r="K598" s="57" t="n"/>
    </row>
    <row r="599" ht="15" customHeight="1">
      <c r="A599" s="10" t="n"/>
      <c r="B599" s="2" t="n">
        <v>596</v>
      </c>
      <c r="C599" s="3" t="n"/>
      <c r="D599" s="3" t="n"/>
      <c r="E599" s="2" t="n"/>
      <c r="F599" s="5">
        <f>IF(E599="","",E599*1000)</f>
        <v/>
      </c>
      <c r="G599" s="23" t="n"/>
      <c r="H599" s="56">
        <f>IF(I599&lt;&gt;"",I599,IF(G599="","",IF(ROUND(MOD(G599,1),1)&lt;=0.4,INT(G599)-1,INT(G599))))</f>
        <v/>
      </c>
      <c r="I599" s="56" t="n"/>
      <c r="J599" s="57">
        <f>IF(H599="","",IF(LOWER(A599)="gl",H599-2,IF(H599&gt;=60,H599-5,IF(AND(H599&gt;=50,H599&lt;60),H599-4,IF(AND(H599&gt;=10,H599&lt;50),H599-3,H599)))))</f>
        <v/>
      </c>
      <c r="K599" s="57" t="n"/>
    </row>
    <row r="600" ht="15" customHeight="1">
      <c r="A600" s="10" t="n"/>
      <c r="B600" s="2" t="n">
        <v>597</v>
      </c>
      <c r="C600" s="3" t="n"/>
      <c r="D600" s="3" t="n"/>
      <c r="E600" s="2" t="n"/>
      <c r="F600" s="5">
        <f>IF(E600="","",E600*1000)</f>
        <v/>
      </c>
      <c r="G600" s="23" t="n"/>
      <c r="H600" s="56">
        <f>IF(I600&lt;&gt;"",I600,IF(G600="","",IF(ROUND(MOD(G600,1),1)&lt;=0.4,INT(G600)-1,INT(G600))))</f>
        <v/>
      </c>
      <c r="I600" s="56" t="n"/>
      <c r="J600" s="57">
        <f>IF(H600="","",IF(LOWER(A600)="gl",H600-2,IF(H600&gt;=60,H600-5,IF(AND(H600&gt;=50,H600&lt;60),H600-4,IF(AND(H600&gt;=10,H600&lt;50),H600-3,H600)))))</f>
        <v/>
      </c>
      <c r="K600" s="57" t="n"/>
    </row>
    <row r="601" ht="15" customHeight="1">
      <c r="A601" s="10" t="n"/>
      <c r="B601" s="2" t="n">
        <v>598</v>
      </c>
      <c r="C601" s="3" t="n"/>
      <c r="D601" s="3" t="n"/>
      <c r="E601" s="2" t="n"/>
      <c r="F601" s="5">
        <f>IF(E601="","",E601*1000)</f>
        <v/>
      </c>
      <c r="G601" s="23" t="n"/>
      <c r="H601" s="56">
        <f>IF(I601&lt;&gt;"",I601,IF(G601="","",IF(ROUND(MOD(G601,1),1)&lt;=0.4,INT(G601)-1,INT(G601))))</f>
        <v/>
      </c>
      <c r="I601" s="56" t="n"/>
      <c r="J601" s="57">
        <f>IF(H601="","",IF(LOWER(A601)="gl",H601-2,IF(H601&gt;=60,H601-5,IF(AND(H601&gt;=50,H601&lt;60),H601-4,IF(AND(H601&gt;=10,H601&lt;50),H601-3,H601)))))</f>
        <v/>
      </c>
      <c r="K601" s="57" t="n"/>
    </row>
    <row r="602" ht="15" customHeight="1">
      <c r="A602" s="10" t="n"/>
      <c r="B602" s="2" t="n">
        <v>599</v>
      </c>
      <c r="C602" s="3" t="n"/>
      <c r="D602" s="3" t="n"/>
      <c r="E602" s="2" t="n"/>
      <c r="F602" s="5">
        <f>IF(E602="","",E602*1000)</f>
        <v/>
      </c>
      <c r="G602" s="23" t="n"/>
      <c r="H602" s="56">
        <f>IF(I602&lt;&gt;"",I602,IF(G602="","",IF(ROUND(MOD(G602,1),1)&lt;=0.4,INT(G602)-1,INT(G602))))</f>
        <v/>
      </c>
      <c r="I602" s="56" t="n"/>
      <c r="J602" s="57">
        <f>IF(H602="","",IF(LOWER(A602)="gl",H602-2,IF(H602&gt;=60,H602-5,IF(AND(H602&gt;=50,H602&lt;60),H602-4,IF(AND(H602&gt;=10,H602&lt;50),H602-3,H602)))))</f>
        <v/>
      </c>
      <c r="K602" s="57" t="n"/>
    </row>
    <row r="603" ht="15" customHeight="1">
      <c r="A603" s="10" t="n"/>
      <c r="B603" s="2" t="n">
        <v>600</v>
      </c>
      <c r="C603" s="3" t="n"/>
      <c r="D603" s="3" t="n"/>
      <c r="E603" s="2" t="n"/>
      <c r="F603" s="5">
        <f>IF(E603="","",E603*1000)</f>
        <v/>
      </c>
      <c r="G603" s="23" t="n"/>
      <c r="H603" s="56">
        <f>IF(I603&lt;&gt;"",I603,IF(G603="","",IF(ROUND(MOD(G603,1),1)&lt;=0.4,INT(G603)-1,INT(G603))))</f>
        <v/>
      </c>
      <c r="I603" s="56" t="n"/>
      <c r="J603" s="57">
        <f>IF(H603="","",IF(LOWER(A603)="gl",H603-2,IF(H603&gt;=60,H603-5,IF(AND(H603&gt;=50,H603&lt;60),H603-4,IF(AND(H603&gt;=10,H603&lt;50),H603-3,H603)))))</f>
        <v/>
      </c>
      <c r="K603" s="57" t="n"/>
    </row>
    <row r="604" ht="15" customHeight="1">
      <c r="A604" s="10" t="n"/>
      <c r="B604" s="2" t="n">
        <v>601</v>
      </c>
      <c r="C604" s="3" t="n"/>
      <c r="D604" s="3" t="n"/>
      <c r="E604" s="2" t="n"/>
      <c r="F604" s="5">
        <f>IF(E604="","",E604*1000)</f>
        <v/>
      </c>
      <c r="G604" s="23" t="n"/>
      <c r="H604" s="56">
        <f>IF(I604&lt;&gt;"",I604,IF(G604="","",IF(ROUND(MOD(G604,1),1)&lt;=0.4,INT(G604)-1,INT(G604))))</f>
        <v/>
      </c>
      <c r="I604" s="56" t="n"/>
      <c r="J604" s="57">
        <f>IF(H604="","",IF(LOWER(A604)="gl",H604-2,IF(H604&gt;=60,H604-5,IF(AND(H604&gt;=50,H604&lt;60),H604-4,IF(AND(H604&gt;=10,H604&lt;50),H604-3,H604)))))</f>
        <v/>
      </c>
      <c r="K604" s="57" t="n"/>
    </row>
    <row r="605" ht="15" customHeight="1">
      <c r="A605" s="10" t="n"/>
      <c r="B605" s="2" t="n">
        <v>602</v>
      </c>
      <c r="C605" s="3" t="n"/>
      <c r="D605" s="3" t="n"/>
      <c r="E605" s="2" t="n"/>
      <c r="F605" s="5">
        <f>IF(E605="","",E605*1000)</f>
        <v/>
      </c>
      <c r="G605" s="23" t="n"/>
      <c r="H605" s="56">
        <f>IF(I605&lt;&gt;"",I605,IF(G605="","",IF(ROUND(MOD(G605,1),1)&lt;=0.4,INT(G605)-1,INT(G605))))</f>
        <v/>
      </c>
      <c r="I605" s="56" t="n"/>
      <c r="J605" s="57">
        <f>IF(H605="","",IF(LOWER(A605)="gl",H605-2,IF(H605&gt;=60,H605-5,IF(AND(H605&gt;=50,H605&lt;60),H605-4,IF(AND(H605&gt;=10,H605&lt;50),H605-3,H605)))))</f>
        <v/>
      </c>
      <c r="K605" s="57" t="n"/>
    </row>
    <row r="606" ht="15" customHeight="1">
      <c r="A606" s="10" t="n"/>
      <c r="B606" s="2" t="n">
        <v>603</v>
      </c>
      <c r="C606" s="3" t="n"/>
      <c r="D606" s="3" t="n"/>
      <c r="E606" s="2" t="n"/>
      <c r="F606" s="5">
        <f>IF(E606="","",E606*1000)</f>
        <v/>
      </c>
      <c r="G606" s="23" t="n"/>
      <c r="H606" s="56">
        <f>IF(I606&lt;&gt;"",I606,IF(G606="","",IF(ROUND(MOD(G606,1),1)&lt;=0.4,INT(G606)-1,INT(G606))))</f>
        <v/>
      </c>
      <c r="I606" s="56" t="n"/>
      <c r="J606" s="57">
        <f>IF(H606="","",IF(LOWER(A606)="gl",H606-2,IF(H606&gt;=60,H606-5,IF(AND(H606&gt;=50,H606&lt;60),H606-4,IF(AND(H606&gt;=10,H606&lt;50),H606-3,H606)))))</f>
        <v/>
      </c>
      <c r="K606" s="57" t="n"/>
    </row>
    <row r="607" ht="15" customHeight="1">
      <c r="A607" s="10" t="n"/>
      <c r="B607" s="2" t="n">
        <v>604</v>
      </c>
      <c r="C607" s="3" t="n"/>
      <c r="D607" s="3" t="n"/>
      <c r="E607" s="2" t="n"/>
      <c r="F607" s="5">
        <f>IF(E607="","",E607*1000)</f>
        <v/>
      </c>
      <c r="G607" s="23" t="n"/>
      <c r="H607" s="56">
        <f>IF(I607&lt;&gt;"",I607,IF(G607="","",IF(ROUND(MOD(G607,1),1)&lt;=0.4,INT(G607)-1,INT(G607))))</f>
        <v/>
      </c>
      <c r="I607" s="56" t="n"/>
      <c r="J607" s="57">
        <f>IF(H607="","",IF(LOWER(A607)="gl",H607-2,IF(H607&gt;=60,H607-5,IF(AND(H607&gt;=50,H607&lt;60),H607-4,IF(AND(H607&gt;=10,H607&lt;50),H607-3,H607)))))</f>
        <v/>
      </c>
      <c r="K607" s="57" t="n"/>
    </row>
    <row r="608" ht="15" customHeight="1">
      <c r="A608" s="10" t="n"/>
      <c r="B608" s="2" t="n">
        <v>605</v>
      </c>
      <c r="C608" s="3" t="n"/>
      <c r="D608" s="3" t="n"/>
      <c r="E608" s="2" t="n"/>
      <c r="F608" s="5">
        <f>IF(E608="","",E608*1000)</f>
        <v/>
      </c>
      <c r="G608" s="23" t="n"/>
      <c r="H608" s="56">
        <f>IF(I608&lt;&gt;"",I608,IF(G608="","",IF(ROUND(MOD(G608,1),1)&lt;=0.4,INT(G608)-1,INT(G608))))</f>
        <v/>
      </c>
      <c r="I608" s="56" t="n"/>
      <c r="J608" s="57">
        <f>IF(H608="","",IF(LOWER(A608)="gl",H608-2,IF(H608&gt;=60,H608-5,IF(AND(H608&gt;=50,H608&lt;60),H608-4,IF(AND(H608&gt;=10,H608&lt;50),H608-3,H608)))))</f>
        <v/>
      </c>
      <c r="K608" s="57" t="n"/>
    </row>
    <row r="609" ht="15" customHeight="1">
      <c r="A609" s="10" t="n"/>
      <c r="B609" s="2" t="n">
        <v>606</v>
      </c>
      <c r="C609" s="3" t="n"/>
      <c r="D609" s="3" t="n"/>
      <c r="E609" s="2" t="n"/>
      <c r="F609" s="5">
        <f>IF(E609="","",E609*1000)</f>
        <v/>
      </c>
      <c r="G609" s="23" t="n"/>
      <c r="H609" s="56">
        <f>IF(I609&lt;&gt;"",I609,IF(G609="","",IF(ROUND(MOD(G609,1),1)&lt;=0.4,INT(G609)-1,INT(G609))))</f>
        <v/>
      </c>
      <c r="I609" s="56" t="n"/>
      <c r="J609" s="57">
        <f>IF(H609="","",IF(LOWER(A609)="gl",H609-2,IF(H609&gt;=60,H609-5,IF(AND(H609&gt;=50,H609&lt;60),H609-4,IF(AND(H609&gt;=10,H609&lt;50),H609-3,H609)))))</f>
        <v/>
      </c>
      <c r="K609" s="57" t="n"/>
    </row>
    <row r="610" ht="15" customHeight="1">
      <c r="A610" s="10" t="n"/>
      <c r="B610" s="2" t="n">
        <v>607</v>
      </c>
      <c r="C610" s="3" t="n"/>
      <c r="D610" s="3" t="n"/>
      <c r="E610" s="2" t="n"/>
      <c r="F610" s="5">
        <f>IF(E610="","",E610*1000)</f>
        <v/>
      </c>
      <c r="G610" s="23" t="n"/>
      <c r="H610" s="56">
        <f>IF(I610&lt;&gt;"",I610,IF(G610="","",IF(ROUND(MOD(G610,1),1)&lt;=0.4,INT(G610)-1,INT(G610))))</f>
        <v/>
      </c>
      <c r="I610" s="56" t="n"/>
      <c r="J610" s="57">
        <f>IF(H610="","",IF(LOWER(A610)="gl",H610-2,IF(H610&gt;=60,H610-5,IF(AND(H610&gt;=50,H610&lt;60),H610-4,IF(AND(H610&gt;=10,H610&lt;50),H610-3,H610)))))</f>
        <v/>
      </c>
      <c r="K610" s="57" t="n"/>
    </row>
    <row r="611" ht="15" customHeight="1">
      <c r="A611" s="10" t="n"/>
      <c r="B611" s="2" t="n">
        <v>608</v>
      </c>
      <c r="C611" s="3" t="n"/>
      <c r="D611" s="3" t="n"/>
      <c r="E611" s="2" t="n"/>
      <c r="F611" s="5">
        <f>IF(E611="","",E611*1000)</f>
        <v/>
      </c>
      <c r="G611" s="23" t="n"/>
      <c r="H611" s="56">
        <f>IF(I611&lt;&gt;"",I611,IF(G611="","",IF(ROUND(MOD(G611,1),1)&lt;=0.4,INT(G611)-1,INT(G611))))</f>
        <v/>
      </c>
      <c r="I611" s="56" t="n"/>
      <c r="J611" s="57">
        <f>IF(H611="","",IF(LOWER(A611)="gl",H611-2,IF(H611&gt;=60,H611-5,IF(AND(H611&gt;=50,H611&lt;60),H611-4,IF(AND(H611&gt;=10,H611&lt;50),H611-3,H611)))))</f>
        <v/>
      </c>
      <c r="K611" s="57" t="n"/>
    </row>
    <row r="612" ht="15" customHeight="1">
      <c r="A612" s="10" t="n"/>
      <c r="B612" s="2" t="n">
        <v>609</v>
      </c>
      <c r="C612" s="3" t="n"/>
      <c r="D612" s="3" t="n"/>
      <c r="E612" s="2" t="n"/>
      <c r="F612" s="5">
        <f>IF(E612="","",E612*1000)</f>
        <v/>
      </c>
      <c r="G612" s="23" t="n"/>
      <c r="H612" s="56">
        <f>IF(I612&lt;&gt;"",I612,IF(G612="","",IF(ROUND(MOD(G612,1),1)&lt;=0.4,INT(G612)-1,INT(G612))))</f>
        <v/>
      </c>
      <c r="I612" s="56" t="n"/>
      <c r="J612" s="57">
        <f>IF(H612="","",IF(LOWER(A612)="gl",H612-2,IF(H612&gt;=60,H612-5,IF(AND(H612&gt;=50,H612&lt;60),H612-4,IF(AND(H612&gt;=10,H612&lt;50),H612-3,H612)))))</f>
        <v/>
      </c>
      <c r="K612" s="57" t="n"/>
    </row>
    <row r="613" ht="15" customHeight="1">
      <c r="A613" s="10" t="n"/>
      <c r="B613" s="2" t="n">
        <v>610</v>
      </c>
      <c r="C613" s="3" t="n"/>
      <c r="D613" s="3" t="n"/>
      <c r="E613" s="2" t="n"/>
      <c r="F613" s="5">
        <f>IF(E613="","",E613*1000)</f>
        <v/>
      </c>
      <c r="G613" s="23" t="n"/>
      <c r="H613" s="56">
        <f>IF(I613&lt;&gt;"",I613,IF(G613="","",IF(ROUND(MOD(G613,1),1)&lt;=0.4,INT(G613)-1,INT(G613))))</f>
        <v/>
      </c>
      <c r="I613" s="56" t="n"/>
      <c r="J613" s="57">
        <f>IF(H613="","",IF(LOWER(A613)="gl",H613-2,IF(H613&gt;=60,H613-5,IF(AND(H613&gt;=50,H613&lt;60),H613-4,IF(AND(H613&gt;=10,H613&lt;50),H613-3,H613)))))</f>
        <v/>
      </c>
      <c r="K613" s="57" t="n"/>
    </row>
    <row r="614" ht="15" customHeight="1">
      <c r="A614" s="10" t="n"/>
      <c r="B614" s="2" t="n">
        <v>611</v>
      </c>
      <c r="C614" s="3" t="n"/>
      <c r="D614" s="3" t="n"/>
      <c r="E614" s="2" t="n"/>
      <c r="F614" s="5">
        <f>IF(E614="","",E614*1000)</f>
        <v/>
      </c>
      <c r="G614" s="23" t="n"/>
      <c r="H614" s="56">
        <f>IF(I614&lt;&gt;"",I614,IF(G614="","",IF(ROUND(MOD(G614,1),1)&lt;=0.4,INT(G614)-1,INT(G614))))</f>
        <v/>
      </c>
      <c r="I614" s="56" t="n"/>
      <c r="J614" s="57">
        <f>IF(H614="","",IF(LOWER(A614)="gl",H614-2,IF(H614&gt;=60,H614-5,IF(AND(H614&gt;=50,H614&lt;60),H614-4,IF(AND(H614&gt;=10,H614&lt;50),H614-3,H614)))))</f>
        <v/>
      </c>
      <c r="K614" s="57" t="n"/>
    </row>
    <row r="615" ht="15" customHeight="1">
      <c r="A615" s="10" t="n"/>
      <c r="B615" s="2" t="n">
        <v>612</v>
      </c>
      <c r="C615" s="3" t="n"/>
      <c r="D615" s="3" t="n"/>
      <c r="E615" s="2" t="n"/>
      <c r="F615" s="5">
        <f>IF(E615="","",E615*1000)</f>
        <v/>
      </c>
      <c r="G615" s="23" t="n"/>
      <c r="H615" s="56">
        <f>IF(I615&lt;&gt;"",I615,IF(G615="","",IF(ROUND(MOD(G615,1),1)&lt;=0.4,INT(G615)-1,INT(G615))))</f>
        <v/>
      </c>
      <c r="I615" s="56" t="n"/>
      <c r="J615" s="57">
        <f>IF(H615="","",IF(LOWER(A615)="gl",H615-2,IF(H615&gt;=60,H615-5,IF(AND(H615&gt;=50,H615&lt;60),H615-4,IF(AND(H615&gt;=10,H615&lt;50),H615-3,H615)))))</f>
        <v/>
      </c>
      <c r="K615" s="57" t="n"/>
    </row>
    <row r="616" ht="15" customHeight="1">
      <c r="A616" s="10" t="n"/>
      <c r="B616" s="2" t="n">
        <v>613</v>
      </c>
      <c r="C616" s="3" t="n"/>
      <c r="D616" s="3" t="n"/>
      <c r="E616" s="2" t="n"/>
      <c r="F616" s="5">
        <f>IF(E616="","",E616*1000)</f>
        <v/>
      </c>
      <c r="G616" s="23" t="n"/>
      <c r="H616" s="56">
        <f>IF(I616&lt;&gt;"",I616,IF(G616="","",IF(ROUND(MOD(G616,1),1)&lt;=0.4,INT(G616)-1,INT(G616))))</f>
        <v/>
      </c>
      <c r="I616" s="56" t="n"/>
      <c r="J616" s="57">
        <f>IF(H616="","",IF(LOWER(A616)="gl",H616-2,IF(H616&gt;=60,H616-5,IF(AND(H616&gt;=50,H616&lt;60),H616-4,IF(AND(H616&gt;=10,H616&lt;50),H616-3,H616)))))</f>
        <v/>
      </c>
      <c r="K616" s="57" t="n"/>
    </row>
    <row r="617" ht="15" customHeight="1">
      <c r="A617" s="10" t="n"/>
      <c r="B617" s="2" t="n">
        <v>614</v>
      </c>
      <c r="C617" s="3" t="n"/>
      <c r="D617" s="3" t="n"/>
      <c r="E617" s="2" t="n"/>
      <c r="F617" s="5">
        <f>IF(E617="","",E617*1000)</f>
        <v/>
      </c>
      <c r="G617" s="23" t="n"/>
      <c r="H617" s="56">
        <f>IF(I617&lt;&gt;"",I617,IF(G617="","",IF(ROUND(MOD(G617,1),1)&lt;=0.4,INT(G617)-1,INT(G617))))</f>
        <v/>
      </c>
      <c r="I617" s="56" t="n"/>
      <c r="J617" s="57">
        <f>IF(H617="","",IF(LOWER(A617)="gl",H617-2,IF(H617&gt;=60,H617-5,IF(AND(H617&gt;=50,H617&lt;60),H617-4,IF(AND(H617&gt;=10,H617&lt;50),H617-3,H617)))))</f>
        <v/>
      </c>
      <c r="K617" s="57" t="n"/>
    </row>
    <row r="618" ht="15" customHeight="1">
      <c r="A618" s="10" t="n"/>
      <c r="B618" s="2" t="n">
        <v>615</v>
      </c>
      <c r="C618" s="3" t="n"/>
      <c r="D618" s="3" t="n"/>
      <c r="E618" s="2" t="n"/>
      <c r="F618" s="5">
        <f>IF(E618="","",E618*1000)</f>
        <v/>
      </c>
      <c r="G618" s="23" t="n"/>
      <c r="H618" s="56">
        <f>IF(I618&lt;&gt;"",I618,IF(G618="","",IF(ROUND(MOD(G618,1),1)&lt;=0.4,INT(G618)-1,INT(G618))))</f>
        <v/>
      </c>
      <c r="I618" s="56" t="n"/>
      <c r="J618" s="57">
        <f>IF(H618="","",IF(LOWER(A618)="gl",H618-2,IF(H618&gt;=60,H618-5,IF(AND(H618&gt;=50,H618&lt;60),H618-4,IF(AND(H618&gt;=10,H618&lt;50),H618-3,H618)))))</f>
        <v/>
      </c>
      <c r="K618" s="57" t="n"/>
    </row>
    <row r="619" ht="15" customHeight="1">
      <c r="A619" s="10" t="n"/>
      <c r="B619" s="2" t="n">
        <v>616</v>
      </c>
      <c r="C619" s="3" t="n"/>
      <c r="D619" s="3" t="n"/>
      <c r="E619" s="2" t="n"/>
      <c r="F619" s="5">
        <f>IF(E619="","",E619*1000)</f>
        <v/>
      </c>
      <c r="G619" s="23" t="n"/>
      <c r="H619" s="56">
        <f>IF(I619&lt;&gt;"",I619,IF(G619="","",IF(ROUND(MOD(G619,1),1)&lt;=0.4,INT(G619)-1,INT(G619))))</f>
        <v/>
      </c>
      <c r="I619" s="56" t="n"/>
      <c r="J619" s="57">
        <f>IF(H619="","",IF(LOWER(A619)="gl",H619-2,IF(H619&gt;=60,H619-5,IF(AND(H619&gt;=50,H619&lt;60),H619-4,IF(AND(H619&gt;=10,H619&lt;50),H619-3,H619)))))</f>
        <v/>
      </c>
      <c r="K619" s="57" t="n"/>
    </row>
    <row r="620" ht="15" customHeight="1">
      <c r="A620" s="10" t="n"/>
      <c r="B620" s="2" t="n">
        <v>617</v>
      </c>
      <c r="C620" s="3" t="n"/>
      <c r="D620" s="3" t="n"/>
      <c r="E620" s="2" t="n"/>
      <c r="F620" s="5">
        <f>IF(E620="","",E620*1000)</f>
        <v/>
      </c>
      <c r="G620" s="23" t="n"/>
      <c r="H620" s="56">
        <f>IF(I620&lt;&gt;"",I620,IF(G620="","",IF(ROUND(MOD(G620,1),1)&lt;=0.4,INT(G620)-1,INT(G620))))</f>
        <v/>
      </c>
      <c r="I620" s="56" t="n"/>
      <c r="J620" s="57">
        <f>IF(H620="","",IF(LOWER(A620)="gl",H620-2,IF(H620&gt;=60,H620-5,IF(AND(H620&gt;=50,H620&lt;60),H620-4,IF(AND(H620&gt;=10,H620&lt;50),H620-3,H620)))))</f>
        <v/>
      </c>
      <c r="K620" s="57" t="n"/>
    </row>
    <row r="621" ht="15" customHeight="1">
      <c r="A621" s="10" t="n"/>
      <c r="B621" s="2" t="n">
        <v>618</v>
      </c>
      <c r="C621" s="3" t="n"/>
      <c r="D621" s="3" t="n"/>
      <c r="E621" s="2" t="n"/>
      <c r="F621" s="5">
        <f>IF(E621="","",E621*1000)</f>
        <v/>
      </c>
      <c r="G621" s="23" t="n"/>
      <c r="H621" s="56">
        <f>IF(I621&lt;&gt;"",I621,IF(G621="","",IF(ROUND(MOD(G621,1),1)&lt;=0.4,INT(G621)-1,INT(G621))))</f>
        <v/>
      </c>
      <c r="I621" s="56" t="n"/>
      <c r="J621" s="57">
        <f>IF(H621="","",IF(LOWER(A621)="gl",H621-2,IF(H621&gt;=60,H621-5,IF(AND(H621&gt;=50,H621&lt;60),H621-4,IF(AND(H621&gt;=10,H621&lt;50),H621-3,H621)))))</f>
        <v/>
      </c>
      <c r="K621" s="57" t="n"/>
    </row>
    <row r="622" ht="15" customHeight="1">
      <c r="A622" s="10" t="n"/>
      <c r="B622" s="2" t="n">
        <v>619</v>
      </c>
      <c r="C622" s="3" t="n"/>
      <c r="D622" s="3" t="n"/>
      <c r="E622" s="2" t="n"/>
      <c r="F622" s="5">
        <f>IF(E622="","",E622*1000)</f>
        <v/>
      </c>
      <c r="G622" s="23" t="n"/>
      <c r="H622" s="56">
        <f>IF(I622&lt;&gt;"",I622,IF(G622="","",IF(ROUND(MOD(G622,1),1)&lt;=0.4,INT(G622)-1,INT(G622))))</f>
        <v/>
      </c>
      <c r="I622" s="56" t="n"/>
      <c r="J622" s="57">
        <f>IF(H622="","",IF(LOWER(A622)="gl",H622-2,IF(H622&gt;=60,H622-5,IF(AND(H622&gt;=50,H622&lt;60),H622-4,IF(AND(H622&gt;=10,H622&lt;50),H622-3,H622)))))</f>
        <v/>
      </c>
      <c r="K622" s="57" t="n"/>
    </row>
    <row r="623" ht="15" customHeight="1">
      <c r="A623" s="10" t="n"/>
      <c r="B623" s="2" t="n">
        <v>620</v>
      </c>
      <c r="C623" s="3" t="n"/>
      <c r="D623" s="3" t="n"/>
      <c r="E623" s="2" t="n"/>
      <c r="F623" s="5">
        <f>IF(E623="","",E623*1000)</f>
        <v/>
      </c>
      <c r="G623" s="23" t="n"/>
      <c r="H623" s="56">
        <f>IF(I623&lt;&gt;"",I623,IF(G623="","",IF(ROUND(MOD(G623,1),1)&lt;=0.4,INT(G623)-1,INT(G623))))</f>
        <v/>
      </c>
      <c r="I623" s="56" t="n"/>
      <c r="J623" s="57">
        <f>IF(H623="","",IF(LOWER(A623)="gl",H623-2,IF(H623&gt;=60,H623-5,IF(AND(H623&gt;=50,H623&lt;60),H623-4,IF(AND(H623&gt;=10,H623&lt;50),H623-3,H623)))))</f>
        <v/>
      </c>
      <c r="K623" s="57" t="n"/>
    </row>
    <row r="624" ht="15" customHeight="1">
      <c r="A624" s="10" t="n"/>
      <c r="B624" s="2" t="n">
        <v>621</v>
      </c>
      <c r="C624" s="3" t="n"/>
      <c r="D624" s="3" t="n"/>
      <c r="E624" s="2" t="n"/>
      <c r="F624" s="5">
        <f>IF(E624="","",E624*1000)</f>
        <v/>
      </c>
      <c r="G624" s="23" t="n"/>
      <c r="H624" s="56">
        <f>IF(I624&lt;&gt;"",I624,IF(G624="","",IF(ROUND(MOD(G624,1),1)&lt;=0.4,INT(G624)-1,INT(G624))))</f>
        <v/>
      </c>
      <c r="I624" s="56" t="n"/>
      <c r="J624" s="57">
        <f>IF(H624="","",IF(LOWER(A624)="gl",H624-2,IF(H624&gt;=60,H624-5,IF(AND(H624&gt;=50,H624&lt;60),H624-4,IF(AND(H624&gt;=10,H624&lt;50),H624-3,H624)))))</f>
        <v/>
      </c>
      <c r="K624" s="57" t="n"/>
    </row>
    <row r="625" ht="15" customHeight="1">
      <c r="A625" s="10" t="n"/>
      <c r="B625" s="2" t="n">
        <v>622</v>
      </c>
      <c r="C625" s="3" t="n"/>
      <c r="D625" s="3" t="n"/>
      <c r="E625" s="2" t="n"/>
      <c r="F625" s="5">
        <f>IF(E625="","",E625*1000)</f>
        <v/>
      </c>
      <c r="G625" s="23" t="n"/>
      <c r="H625" s="56">
        <f>IF(I625&lt;&gt;"",I625,IF(G625="","",IF(ROUND(MOD(G625,1),1)&lt;=0.4,INT(G625)-1,INT(G625))))</f>
        <v/>
      </c>
      <c r="I625" s="56" t="n"/>
      <c r="J625" s="57">
        <f>IF(H625="","",IF(LOWER(A625)="gl",H625-2,IF(H625&gt;=60,H625-5,IF(AND(H625&gt;=50,H625&lt;60),H625-4,IF(AND(H625&gt;=10,H625&lt;50),H625-3,H625)))))</f>
        <v/>
      </c>
      <c r="K625" s="57" t="n"/>
    </row>
    <row r="626" ht="15" customHeight="1">
      <c r="A626" s="10" t="n"/>
      <c r="B626" s="2" t="n">
        <v>623</v>
      </c>
      <c r="C626" s="3" t="n"/>
      <c r="D626" s="3" t="n"/>
      <c r="E626" s="2" t="n"/>
      <c r="F626" s="5">
        <f>IF(E626="","",E626*1000)</f>
        <v/>
      </c>
      <c r="G626" s="23" t="n"/>
      <c r="H626" s="56">
        <f>IF(I626&lt;&gt;"",I626,IF(G626="","",IF(ROUND(MOD(G626,1),1)&lt;=0.4,INT(G626)-1,INT(G626))))</f>
        <v/>
      </c>
      <c r="I626" s="56" t="n"/>
      <c r="J626" s="57">
        <f>IF(H626="","",IF(LOWER(A626)="gl",H626-2,IF(H626&gt;=60,H626-5,IF(AND(H626&gt;=50,H626&lt;60),H626-4,IF(AND(H626&gt;=10,H626&lt;50),H626-3,H626)))))</f>
        <v/>
      </c>
      <c r="K626" s="57" t="n"/>
    </row>
    <row r="627" ht="15" customHeight="1">
      <c r="A627" s="10" t="n"/>
      <c r="B627" s="2" t="n">
        <v>624</v>
      </c>
      <c r="C627" s="3" t="n"/>
      <c r="D627" s="3" t="n"/>
      <c r="E627" s="2" t="n"/>
      <c r="F627" s="5">
        <f>IF(E627="","",E627*1000)</f>
        <v/>
      </c>
      <c r="G627" s="23" t="n"/>
      <c r="H627" s="56">
        <f>IF(I627&lt;&gt;"",I627,IF(G627="","",IF(ROUND(MOD(G627,1),1)&lt;=0.4,INT(G627)-1,INT(G627))))</f>
        <v/>
      </c>
      <c r="I627" s="56" t="n"/>
      <c r="J627" s="57">
        <f>IF(H627="","",IF(LOWER(A627)="gl",H627-2,IF(H627&gt;=60,H627-5,IF(AND(H627&gt;=50,H627&lt;60),H627-4,IF(AND(H627&gt;=10,H627&lt;50),H627-3,H627)))))</f>
        <v/>
      </c>
      <c r="K627" s="57" t="n"/>
    </row>
    <row r="628" ht="15" customHeight="1">
      <c r="A628" s="10" t="n"/>
      <c r="B628" s="2" t="n">
        <v>625</v>
      </c>
      <c r="C628" s="3" t="n"/>
      <c r="D628" s="3" t="n"/>
      <c r="E628" s="2" t="n"/>
      <c r="F628" s="5">
        <f>IF(E628="","",E628*1000)</f>
        <v/>
      </c>
      <c r="G628" s="23" t="n"/>
      <c r="H628" s="56">
        <f>IF(I628&lt;&gt;"",I628,IF(G628="","",IF(ROUND(MOD(G628,1),1)&lt;=0.4,INT(G628)-1,INT(G628))))</f>
        <v/>
      </c>
      <c r="I628" s="56" t="n"/>
      <c r="J628" s="57">
        <f>IF(H628="","",IF(LOWER(A628)="gl",H628-2,IF(H628&gt;=60,H628-5,IF(AND(H628&gt;=50,H628&lt;60),H628-4,IF(AND(H628&gt;=10,H628&lt;50),H628-3,H628)))))</f>
        <v/>
      </c>
      <c r="K628" s="57" t="n"/>
    </row>
    <row r="629" ht="15" customHeight="1">
      <c r="A629" s="10" t="n"/>
      <c r="B629" s="2" t="n">
        <v>626</v>
      </c>
      <c r="C629" s="3" t="n"/>
      <c r="D629" s="3" t="n"/>
      <c r="E629" s="2" t="n"/>
      <c r="F629" s="5">
        <f>IF(E629="","",E629*1000)</f>
        <v/>
      </c>
      <c r="G629" s="23" t="n"/>
      <c r="H629" s="56">
        <f>IF(I629&lt;&gt;"",I629,IF(G629="","",IF(ROUND(MOD(G629,1),1)&lt;=0.4,INT(G629)-1,INT(G629))))</f>
        <v/>
      </c>
      <c r="I629" s="56" t="n"/>
      <c r="J629" s="57">
        <f>IF(H629="","",IF(LOWER(A629)="gl",H629-2,IF(H629&gt;=60,H629-5,IF(AND(H629&gt;=50,H629&lt;60),H629-4,IF(AND(H629&gt;=10,H629&lt;50),H629-3,H629)))))</f>
        <v/>
      </c>
      <c r="K629" s="57" t="n"/>
    </row>
    <row r="630" ht="15" customHeight="1">
      <c r="A630" s="10" t="n"/>
      <c r="B630" s="2" t="n">
        <v>627</v>
      </c>
      <c r="C630" s="3" t="n"/>
      <c r="D630" s="3" t="n"/>
      <c r="E630" s="2" t="n"/>
      <c r="F630" s="5">
        <f>IF(E630="","",E630*1000)</f>
        <v/>
      </c>
      <c r="G630" s="23" t="n"/>
      <c r="H630" s="56">
        <f>IF(I630&lt;&gt;"",I630,IF(G630="","",IF(ROUND(MOD(G630,1),1)&lt;=0.4,INT(G630)-1,INT(G630))))</f>
        <v/>
      </c>
      <c r="I630" s="56" t="n"/>
      <c r="J630" s="57">
        <f>IF(H630="","",IF(LOWER(A630)="gl",H630-2,IF(H630&gt;=60,H630-5,IF(AND(H630&gt;=50,H630&lt;60),H630-4,IF(AND(H630&gt;=10,H630&lt;50),H630-3,H630)))))</f>
        <v/>
      </c>
      <c r="K630" s="57" t="n"/>
    </row>
    <row r="631" ht="15" customHeight="1">
      <c r="A631" s="10" t="n"/>
      <c r="B631" s="2" t="n">
        <v>628</v>
      </c>
      <c r="C631" s="3" t="n"/>
      <c r="D631" s="3" t="n"/>
      <c r="E631" s="2" t="n"/>
      <c r="F631" s="5">
        <f>IF(E631="","",E631*1000)</f>
        <v/>
      </c>
      <c r="G631" s="23" t="n"/>
      <c r="H631" s="56">
        <f>IF(I631&lt;&gt;"",I631,IF(G631="","",IF(ROUND(MOD(G631,1),1)&lt;=0.4,INT(G631)-1,INT(G631))))</f>
        <v/>
      </c>
      <c r="I631" s="56" t="n"/>
      <c r="J631" s="57">
        <f>IF(H631="","",IF(LOWER(A631)="gl",H631-2,IF(H631&gt;=60,H631-5,IF(AND(H631&gt;=50,H631&lt;60),H631-4,IF(AND(H631&gt;=10,H631&lt;50),H631-3,H631)))))</f>
        <v/>
      </c>
      <c r="K631" s="57" t="n"/>
    </row>
    <row r="632" ht="15" customHeight="1">
      <c r="A632" s="10" t="n"/>
      <c r="B632" s="2" t="n">
        <v>629</v>
      </c>
      <c r="C632" s="3" t="n"/>
      <c r="D632" s="3" t="n"/>
      <c r="E632" s="2" t="n"/>
      <c r="F632" s="5">
        <f>IF(E632="","",E632*1000)</f>
        <v/>
      </c>
      <c r="G632" s="23" t="n"/>
      <c r="H632" s="56">
        <f>IF(I632&lt;&gt;"",I632,IF(G632="","",IF(ROUND(MOD(G632,1),1)&lt;=0.4,INT(G632)-1,INT(G632))))</f>
        <v/>
      </c>
      <c r="I632" s="56" t="n"/>
      <c r="J632" s="57">
        <f>IF(H632="","",IF(LOWER(A632)="gl",H632-2,IF(H632&gt;=60,H632-5,IF(AND(H632&gt;=50,H632&lt;60),H632-4,IF(AND(H632&gt;=10,H632&lt;50),H632-3,H632)))))</f>
        <v/>
      </c>
      <c r="K632" s="57" t="n"/>
    </row>
    <row r="633" ht="15" customHeight="1">
      <c r="A633" s="10" t="n"/>
      <c r="B633" s="2" t="n">
        <v>630</v>
      </c>
      <c r="C633" s="3" t="n"/>
      <c r="D633" s="3" t="n"/>
      <c r="E633" s="2" t="n"/>
      <c r="F633" s="5">
        <f>IF(E633="","",E633*1000)</f>
        <v/>
      </c>
      <c r="G633" s="23" t="n"/>
      <c r="H633" s="56">
        <f>IF(I633&lt;&gt;"",I633,IF(G633="","",IF(ROUND(MOD(G633,1),1)&lt;=0.4,INT(G633)-1,INT(G633))))</f>
        <v/>
      </c>
      <c r="I633" s="56" t="n"/>
      <c r="J633" s="57">
        <f>IF(H633="","",IF(LOWER(A633)="gl",H633-2,IF(H633&gt;=60,H633-5,IF(AND(H633&gt;=50,H633&lt;60),H633-4,IF(AND(H633&gt;=10,H633&lt;50),H633-3,H633)))))</f>
        <v/>
      </c>
      <c r="K633" s="57" t="n"/>
    </row>
    <row r="634" ht="15" customHeight="1">
      <c r="A634" s="10" t="n"/>
      <c r="B634" s="2" t="n">
        <v>631</v>
      </c>
      <c r="C634" s="3" t="n"/>
      <c r="D634" s="3" t="n"/>
      <c r="E634" s="2" t="n"/>
      <c r="F634" s="5">
        <f>IF(E634="","",E634*1000)</f>
        <v/>
      </c>
      <c r="G634" s="23" t="n"/>
      <c r="H634" s="56">
        <f>IF(I634&lt;&gt;"",I634,IF(G634="","",IF(ROUND(MOD(G634,1),1)&lt;=0.4,INT(G634)-1,INT(G634))))</f>
        <v/>
      </c>
      <c r="I634" s="56" t="n"/>
      <c r="J634" s="57">
        <f>IF(H634="","",IF(LOWER(A634)="gl",H634-2,IF(H634&gt;=60,H634-5,IF(AND(H634&gt;=50,H634&lt;60),H634-4,IF(AND(H634&gt;=10,H634&lt;50),H634-3,H634)))))</f>
        <v/>
      </c>
      <c r="K634" s="57" t="n"/>
    </row>
    <row r="635" ht="15" customHeight="1">
      <c r="A635" s="10" t="n"/>
      <c r="B635" s="2" t="n">
        <v>632</v>
      </c>
      <c r="C635" s="3" t="n"/>
      <c r="D635" s="3" t="n"/>
      <c r="E635" s="2" t="n"/>
      <c r="F635" s="5">
        <f>IF(E635="","",E635*1000)</f>
        <v/>
      </c>
      <c r="G635" s="23" t="n"/>
      <c r="H635" s="56">
        <f>IF(I635&lt;&gt;"",I635,IF(G635="","",IF(ROUND(MOD(G635,1),1)&lt;=0.4,INT(G635)-1,INT(G635))))</f>
        <v/>
      </c>
      <c r="I635" s="56" t="n"/>
      <c r="J635" s="57">
        <f>IF(H635="","",IF(LOWER(A635)="gl",H635-2,IF(H635&gt;=60,H635-5,IF(AND(H635&gt;=50,H635&lt;60),H635-4,IF(AND(H635&gt;=10,H635&lt;50),H635-3,H635)))))</f>
        <v/>
      </c>
      <c r="K635" s="57" t="n"/>
    </row>
    <row r="636" ht="15" customHeight="1">
      <c r="A636" s="10" t="n"/>
      <c r="B636" s="2" t="n">
        <v>633</v>
      </c>
      <c r="C636" s="3" t="n"/>
      <c r="D636" s="3" t="n"/>
      <c r="E636" s="2" t="n"/>
      <c r="F636" s="5">
        <f>IF(E636="","",E636*1000)</f>
        <v/>
      </c>
      <c r="G636" s="23" t="n"/>
      <c r="H636" s="56">
        <f>IF(I636&lt;&gt;"",I636,IF(G636="","",IF(ROUND(MOD(G636,1),1)&lt;=0.4,INT(G636)-1,INT(G636))))</f>
        <v/>
      </c>
      <c r="I636" s="56" t="n"/>
      <c r="J636" s="57">
        <f>IF(H636="","",IF(LOWER(A636)="gl",H636-2,IF(H636&gt;=60,H636-5,IF(AND(H636&gt;=50,H636&lt;60),H636-4,IF(AND(H636&gt;=10,H636&lt;50),H636-3,H636)))))</f>
        <v/>
      </c>
      <c r="K636" s="57" t="n"/>
    </row>
    <row r="637" ht="15" customHeight="1">
      <c r="A637" s="10" t="n"/>
      <c r="B637" s="2" t="n">
        <v>634</v>
      </c>
      <c r="C637" s="3" t="n"/>
      <c r="D637" s="3" t="n"/>
      <c r="E637" s="2" t="n"/>
      <c r="F637" s="5">
        <f>IF(E637="","",E637*1000)</f>
        <v/>
      </c>
      <c r="G637" s="23" t="n"/>
      <c r="H637" s="56">
        <f>IF(I637&lt;&gt;"",I637,IF(G637="","",IF(ROUND(MOD(G637,1),1)&lt;=0.4,INT(G637)-1,INT(G637))))</f>
        <v/>
      </c>
      <c r="I637" s="56" t="n"/>
      <c r="J637" s="57">
        <f>IF(H637="","",IF(LOWER(A637)="gl",H637-2,IF(H637&gt;=60,H637-5,IF(AND(H637&gt;=50,H637&lt;60),H637-4,IF(AND(H637&gt;=10,H637&lt;50),H637-3,H637)))))</f>
        <v/>
      </c>
      <c r="K637" s="57" t="n"/>
    </row>
    <row r="638" ht="15" customHeight="1">
      <c r="A638" s="10" t="n"/>
      <c r="B638" s="2" t="n">
        <v>635</v>
      </c>
      <c r="C638" s="3" t="n"/>
      <c r="D638" s="3" t="n"/>
      <c r="E638" s="2" t="n"/>
      <c r="F638" s="5">
        <f>IF(E638="","",E638*1000)</f>
        <v/>
      </c>
      <c r="G638" s="23" t="n"/>
      <c r="H638" s="56">
        <f>IF(I638&lt;&gt;"",I638,IF(G638="","",IF(ROUND(MOD(G638,1),1)&lt;=0.4,INT(G638)-1,INT(G638))))</f>
        <v/>
      </c>
      <c r="I638" s="56" t="n"/>
      <c r="J638" s="57">
        <f>IF(H638="","",IF(LOWER(A638)="gl",H638-2,IF(H638&gt;=60,H638-5,IF(AND(H638&gt;=50,H638&lt;60),H638-4,IF(AND(H638&gt;=10,H638&lt;50),H638-3,H638)))))</f>
        <v/>
      </c>
      <c r="K638" s="57" t="n"/>
    </row>
    <row r="639" ht="15" customHeight="1">
      <c r="A639" s="10" t="n"/>
      <c r="B639" s="2" t="n">
        <v>636</v>
      </c>
      <c r="C639" s="3" t="n"/>
      <c r="D639" s="3" t="n"/>
      <c r="E639" s="2" t="n"/>
      <c r="F639" s="5">
        <f>IF(E639="","",E639*1000)</f>
        <v/>
      </c>
      <c r="G639" s="23" t="n"/>
      <c r="H639" s="56">
        <f>IF(I639&lt;&gt;"",I639,IF(G639="","",IF(ROUND(MOD(G639,1),1)&lt;=0.4,INT(G639)-1,INT(G639))))</f>
        <v/>
      </c>
      <c r="I639" s="56" t="n"/>
      <c r="J639" s="57">
        <f>IF(H639="","",IF(LOWER(A639)="gl",H639-2,IF(H639&gt;=60,H639-5,IF(AND(H639&gt;=50,H639&lt;60),H639-4,IF(AND(H639&gt;=10,H639&lt;50),H639-3,H639)))))</f>
        <v/>
      </c>
      <c r="K639" s="57" t="n"/>
    </row>
    <row r="640" ht="15" customHeight="1">
      <c r="A640" s="10" t="n"/>
      <c r="B640" s="2" t="n">
        <v>637</v>
      </c>
      <c r="C640" s="3" t="n"/>
      <c r="D640" s="3" t="n"/>
      <c r="E640" s="2" t="n"/>
      <c r="F640" s="5">
        <f>IF(E640="","",E640*1000)</f>
        <v/>
      </c>
      <c r="G640" s="23" t="n"/>
      <c r="H640" s="56">
        <f>IF(I640&lt;&gt;"",I640,IF(G640="","",IF(ROUND(MOD(G640,1),1)&lt;=0.4,INT(G640)-1,INT(G640))))</f>
        <v/>
      </c>
      <c r="I640" s="56" t="n"/>
      <c r="J640" s="57">
        <f>IF(H640="","",IF(LOWER(A640)="gl",H640-2,IF(H640&gt;=60,H640-5,IF(AND(H640&gt;=50,H640&lt;60),H640-4,IF(AND(H640&gt;=10,H640&lt;50),H640-3,H640)))))</f>
        <v/>
      </c>
      <c r="K640" s="57" t="n"/>
    </row>
    <row r="641" ht="15" customHeight="1">
      <c r="A641" s="10" t="n"/>
      <c r="B641" s="2" t="n">
        <v>638</v>
      </c>
      <c r="C641" s="3" t="n"/>
      <c r="D641" s="3" t="n"/>
      <c r="E641" s="2" t="n"/>
      <c r="F641" s="5">
        <f>IF(E641="","",E641*1000)</f>
        <v/>
      </c>
      <c r="G641" s="23" t="n"/>
      <c r="H641" s="56">
        <f>IF(I641&lt;&gt;"",I641,IF(G641="","",IF(ROUND(MOD(G641,1),1)&lt;=0.4,INT(G641)-1,INT(G641))))</f>
        <v/>
      </c>
      <c r="I641" s="56" t="n"/>
      <c r="J641" s="57">
        <f>IF(H641="","",IF(LOWER(A641)="gl",H641-2,IF(H641&gt;=60,H641-5,IF(AND(H641&gt;=50,H641&lt;60),H641-4,IF(AND(H641&gt;=10,H641&lt;50),H641-3,H641)))))</f>
        <v/>
      </c>
      <c r="K641" s="57" t="n"/>
    </row>
    <row r="642" ht="15" customHeight="1">
      <c r="A642" s="10" t="n"/>
      <c r="B642" s="2" t="n">
        <v>639</v>
      </c>
      <c r="C642" s="3" t="n"/>
      <c r="D642" s="3" t="n"/>
      <c r="E642" s="2" t="n"/>
      <c r="F642" s="5">
        <f>IF(E642="","",E642*1000)</f>
        <v/>
      </c>
      <c r="G642" s="23" t="n"/>
      <c r="H642" s="56">
        <f>IF(I642&lt;&gt;"",I642,IF(G642="","",IF(ROUND(MOD(G642,1),1)&lt;=0.4,INT(G642)-1,INT(G642))))</f>
        <v/>
      </c>
      <c r="I642" s="56" t="n"/>
      <c r="J642" s="57">
        <f>IF(H642="","",IF(LOWER(A642)="gl",H642-2,IF(H642&gt;=60,H642-5,IF(AND(H642&gt;=50,H642&lt;60),H642-4,IF(AND(H642&gt;=10,H642&lt;50),H642-3,H642)))))</f>
        <v/>
      </c>
      <c r="K642" s="57" t="n"/>
    </row>
    <row r="643" ht="15" customHeight="1">
      <c r="A643" s="10" t="n"/>
      <c r="B643" s="2" t="n">
        <v>640</v>
      </c>
      <c r="C643" s="3" t="n"/>
      <c r="D643" s="3" t="n"/>
      <c r="E643" s="2" t="n"/>
      <c r="F643" s="5">
        <f>IF(E643="","",E643*1000)</f>
        <v/>
      </c>
      <c r="G643" s="23" t="n"/>
      <c r="H643" s="56">
        <f>IF(I643&lt;&gt;"",I643,IF(G643="","",IF(ROUND(MOD(G643,1),1)&lt;=0.4,INT(G643)-1,INT(G643))))</f>
        <v/>
      </c>
      <c r="I643" s="56" t="n"/>
      <c r="J643" s="57">
        <f>IF(H643="","",IF(LOWER(A643)="gl",H643-2,IF(H643&gt;=60,H643-5,IF(AND(H643&gt;=50,H643&lt;60),H643-4,IF(AND(H643&gt;=10,H643&lt;50),H643-3,H643)))))</f>
        <v/>
      </c>
      <c r="K643" s="57" t="n"/>
    </row>
    <row r="644" ht="15" customHeight="1">
      <c r="A644" s="10" t="n"/>
      <c r="B644" s="2" t="n">
        <v>641</v>
      </c>
      <c r="C644" s="3" t="n"/>
      <c r="D644" s="3" t="n"/>
      <c r="E644" s="2" t="n"/>
      <c r="F644" s="5">
        <f>IF(E644="","",E644*1000)</f>
        <v/>
      </c>
      <c r="G644" s="23" t="n"/>
      <c r="H644" s="56">
        <f>IF(I644&lt;&gt;"",I644,IF(G644="","",IF(ROUND(MOD(G644,1),1)&lt;=0.4,INT(G644)-1,INT(G644))))</f>
        <v/>
      </c>
      <c r="I644" s="56" t="n"/>
      <c r="J644" s="57">
        <f>IF(H644="","",IF(LOWER(A644)="gl",H644-2,IF(H644&gt;=60,H644-5,IF(AND(H644&gt;=50,H644&lt;60),H644-4,IF(AND(H644&gt;=10,H644&lt;50),H644-3,H644)))))</f>
        <v/>
      </c>
      <c r="K644" s="57" t="n"/>
    </row>
    <row r="645" ht="15" customHeight="1">
      <c r="A645" s="10" t="n"/>
      <c r="B645" s="2" t="n">
        <v>642</v>
      </c>
      <c r="C645" s="3" t="n"/>
      <c r="D645" s="3" t="n"/>
      <c r="E645" s="2" t="n"/>
      <c r="F645" s="5">
        <f>IF(E645="","",E645*1000)</f>
        <v/>
      </c>
      <c r="G645" s="23" t="n"/>
      <c r="H645" s="56">
        <f>IF(I645&lt;&gt;"",I645,IF(G645="","",IF(ROUND(MOD(G645,1),1)&lt;=0.4,INT(G645)-1,INT(G645))))</f>
        <v/>
      </c>
      <c r="I645" s="56" t="n"/>
      <c r="J645" s="57">
        <f>IF(H645="","",IF(LOWER(A645)="gl",H645-2,IF(H645&gt;=60,H645-5,IF(AND(H645&gt;=50,H645&lt;60),H645-4,IF(AND(H645&gt;=10,H645&lt;50),H645-3,H645)))))</f>
        <v/>
      </c>
      <c r="K645" s="57" t="n"/>
    </row>
    <row r="646" ht="15" customHeight="1">
      <c r="A646" s="10" t="n"/>
      <c r="B646" s="2" t="n">
        <v>643</v>
      </c>
      <c r="C646" s="3" t="n"/>
      <c r="D646" s="3" t="n"/>
      <c r="E646" s="2" t="n"/>
      <c r="F646" s="5">
        <f>IF(E646="","",E646*1000)</f>
        <v/>
      </c>
      <c r="G646" s="23" t="n"/>
      <c r="H646" s="56">
        <f>IF(I646&lt;&gt;"",I646,IF(G646="","",IF(ROUND(MOD(G646,1),1)&lt;=0.4,INT(G646)-1,INT(G646))))</f>
        <v/>
      </c>
      <c r="I646" s="56" t="n"/>
      <c r="J646" s="57">
        <f>IF(H646="","",IF(LOWER(A646)="gl",H646-2,IF(H646&gt;=60,H646-5,IF(AND(H646&gt;=50,H646&lt;60),H646-4,IF(AND(H646&gt;=10,H646&lt;50),H646-3,H646)))))</f>
        <v/>
      </c>
      <c r="K646" s="57" t="n"/>
    </row>
    <row r="647" ht="15" customHeight="1">
      <c r="A647" s="10" t="n"/>
      <c r="B647" s="2" t="n">
        <v>644</v>
      </c>
      <c r="C647" s="3" t="n"/>
      <c r="D647" s="3" t="n"/>
      <c r="E647" s="2" t="n"/>
      <c r="F647" s="5">
        <f>IF(E647="","",E647*1000)</f>
        <v/>
      </c>
      <c r="G647" s="23" t="n"/>
      <c r="H647" s="56">
        <f>IF(I647&lt;&gt;"",I647,IF(G647="","",IF(ROUND(MOD(G647,1),1)&lt;=0.4,INT(G647)-1,INT(G647))))</f>
        <v/>
      </c>
      <c r="I647" s="56" t="n"/>
      <c r="J647" s="57">
        <f>IF(H647="","",IF(LOWER(A647)="gl",H647-2,IF(H647&gt;=60,H647-5,IF(AND(H647&gt;=50,H647&lt;60),H647-4,IF(AND(H647&gt;=10,H647&lt;50),H647-3,H647)))))</f>
        <v/>
      </c>
      <c r="K647" s="57" t="n"/>
    </row>
    <row r="648" ht="15" customHeight="1">
      <c r="A648" s="10" t="n"/>
      <c r="B648" s="2" t="n">
        <v>645</v>
      </c>
      <c r="C648" s="3" t="n"/>
      <c r="D648" s="3" t="n"/>
      <c r="E648" s="2" t="n"/>
      <c r="F648" s="5">
        <f>IF(E648="","",E648*1000)</f>
        <v/>
      </c>
      <c r="G648" s="23" t="n"/>
      <c r="H648" s="56">
        <f>IF(I648&lt;&gt;"",I648,IF(G648="","",IF(ROUND(MOD(G648,1),1)&lt;=0.4,INT(G648)-1,INT(G648))))</f>
        <v/>
      </c>
      <c r="I648" s="56" t="n"/>
      <c r="J648" s="57">
        <f>IF(H648="","",IF(LOWER(A648)="gl",H648-2,IF(H648&gt;=60,H648-5,IF(AND(H648&gt;=50,H648&lt;60),H648-4,IF(AND(H648&gt;=10,H648&lt;50),H648-3,H648)))))</f>
        <v/>
      </c>
      <c r="K648" s="57" t="n"/>
    </row>
    <row r="649" ht="15" customHeight="1">
      <c r="A649" s="10" t="n"/>
      <c r="B649" s="2" t="n">
        <v>646</v>
      </c>
      <c r="C649" s="3" t="n"/>
      <c r="D649" s="3" t="n"/>
      <c r="E649" s="2" t="n"/>
      <c r="F649" s="5">
        <f>IF(E649="","",E649*1000)</f>
        <v/>
      </c>
      <c r="G649" s="23" t="n"/>
      <c r="H649" s="56">
        <f>IF(I649&lt;&gt;"",I649,IF(G649="","",IF(ROUND(MOD(G649,1),1)&lt;=0.4,INT(G649)-1,INT(G649))))</f>
        <v/>
      </c>
      <c r="I649" s="56" t="n"/>
      <c r="J649" s="57">
        <f>IF(H649="","",IF(LOWER(A649)="gl",H649-2,IF(H649&gt;=60,H649-5,IF(AND(H649&gt;=50,H649&lt;60),H649-4,IF(AND(H649&gt;=10,H649&lt;50),H649-3,H649)))))</f>
        <v/>
      </c>
      <c r="K649" s="57" t="n"/>
    </row>
    <row r="650" ht="15" customHeight="1">
      <c r="A650" s="10" t="n"/>
      <c r="B650" s="2" t="n">
        <v>647</v>
      </c>
      <c r="C650" s="3" t="n"/>
      <c r="D650" s="3" t="n"/>
      <c r="E650" s="2" t="n"/>
      <c r="F650" s="5">
        <f>IF(E650="","",E650*1000)</f>
        <v/>
      </c>
      <c r="G650" s="23" t="n"/>
      <c r="H650" s="56">
        <f>IF(I650&lt;&gt;"",I650,IF(G650="","",IF(ROUND(MOD(G650,1),1)&lt;=0.4,INT(G650)-1,INT(G650))))</f>
        <v/>
      </c>
      <c r="I650" s="56" t="n"/>
      <c r="J650" s="57">
        <f>IF(H650="","",IF(LOWER(A650)="gl",H650-2,IF(H650&gt;=60,H650-5,IF(AND(H650&gt;=50,H650&lt;60),H650-4,IF(AND(H650&gt;=10,H650&lt;50),H650-3,H650)))))</f>
        <v/>
      </c>
      <c r="K650" s="57" t="n"/>
    </row>
    <row r="651" ht="15" customHeight="1">
      <c r="A651" s="10" t="n"/>
      <c r="B651" s="2" t="n">
        <v>648</v>
      </c>
      <c r="C651" s="3" t="n"/>
      <c r="D651" s="3" t="n"/>
      <c r="E651" s="2" t="n"/>
      <c r="F651" s="5">
        <f>IF(E651="","",E651*1000)</f>
        <v/>
      </c>
      <c r="G651" s="23" t="n"/>
      <c r="H651" s="56">
        <f>IF(I651&lt;&gt;"",I651,IF(G651="","",IF(ROUND(MOD(G651,1),1)&lt;=0.4,INT(G651)-1,INT(G651))))</f>
        <v/>
      </c>
      <c r="I651" s="56" t="n"/>
      <c r="J651" s="57">
        <f>IF(H651="","",IF(LOWER(A651)="gl",H651-2,IF(H651&gt;=60,H651-5,IF(AND(H651&gt;=50,H651&lt;60),H651-4,IF(AND(H651&gt;=10,H651&lt;50),H651-3,H651)))))</f>
        <v/>
      </c>
      <c r="K651" s="57" t="n"/>
    </row>
    <row r="652" ht="15" customHeight="1">
      <c r="A652" s="10" t="n"/>
      <c r="B652" s="2" t="n">
        <v>649</v>
      </c>
      <c r="C652" s="3" t="n"/>
      <c r="D652" s="3" t="n"/>
      <c r="E652" s="2" t="n"/>
      <c r="F652" s="5">
        <f>IF(E652="","",E652*1000)</f>
        <v/>
      </c>
      <c r="G652" s="23" t="n"/>
      <c r="H652" s="56">
        <f>IF(I652&lt;&gt;"",I652,IF(G652="","",IF(ROUND(MOD(G652,1),1)&lt;=0.4,INT(G652)-1,INT(G652))))</f>
        <v/>
      </c>
      <c r="I652" s="56" t="n"/>
      <c r="J652" s="57">
        <f>IF(H652="","",IF(LOWER(A652)="gl",H652-2,IF(H652&gt;=60,H652-5,IF(AND(H652&gt;=50,H652&lt;60),H652-4,IF(AND(H652&gt;=10,H652&lt;50),H652-3,H652)))))</f>
        <v/>
      </c>
      <c r="K652" s="57" t="n"/>
    </row>
    <row r="653" ht="15" customHeight="1">
      <c r="A653" s="10" t="n"/>
      <c r="B653" s="2" t="n">
        <v>650</v>
      </c>
      <c r="C653" s="3" t="n"/>
      <c r="D653" s="3" t="n"/>
      <c r="E653" s="2" t="n"/>
      <c r="F653" s="5">
        <f>IF(E653="","",E653*1000)</f>
        <v/>
      </c>
      <c r="G653" s="23" t="n"/>
      <c r="H653" s="56">
        <f>IF(I653&lt;&gt;"",I653,IF(G653="","",IF(ROUND(MOD(G653,1),1)&lt;=0.4,INT(G653)-1,INT(G653))))</f>
        <v/>
      </c>
      <c r="I653" s="56" t="n"/>
      <c r="J653" s="57">
        <f>IF(H653="","",IF(LOWER(A653)="gl",H653-2,IF(H653&gt;=60,H653-5,IF(AND(H653&gt;=50,H653&lt;60),H653-4,IF(AND(H653&gt;=10,H653&lt;50),H653-3,H653)))))</f>
        <v/>
      </c>
      <c r="K653" s="57" t="n"/>
    </row>
    <row r="654" ht="15" customHeight="1">
      <c r="A654" s="10" t="n"/>
      <c r="B654" s="2" t="n">
        <v>651</v>
      </c>
      <c r="C654" s="3" t="n"/>
      <c r="D654" s="3" t="n"/>
      <c r="E654" s="2" t="n"/>
      <c r="F654" s="5">
        <f>IF(E654="","",E654*1000)</f>
        <v/>
      </c>
      <c r="G654" s="23" t="n"/>
      <c r="H654" s="56">
        <f>IF(I654&lt;&gt;"",I654,IF(G654="","",IF(ROUND(MOD(G654,1),1)&lt;=0.4,INT(G654)-1,INT(G654))))</f>
        <v/>
      </c>
      <c r="I654" s="56" t="n"/>
      <c r="J654" s="57">
        <f>IF(H654="","",IF(LOWER(A654)="gl",H654-2,IF(H654&gt;=60,H654-5,IF(AND(H654&gt;=50,H654&lt;60),H654-4,IF(AND(H654&gt;=10,H654&lt;50),H654-3,H654)))))</f>
        <v/>
      </c>
      <c r="K654" s="57" t="n"/>
    </row>
    <row r="655" ht="15" customHeight="1">
      <c r="A655" s="10" t="n"/>
      <c r="B655" s="2" t="n">
        <v>652</v>
      </c>
      <c r="C655" s="3" t="n"/>
      <c r="D655" s="3" t="n"/>
      <c r="E655" s="2" t="n"/>
      <c r="F655" s="5">
        <f>IF(E655="","",E655*1000)</f>
        <v/>
      </c>
      <c r="G655" s="23" t="n"/>
      <c r="H655" s="56">
        <f>IF(I655&lt;&gt;"",I655,IF(G655="","",IF(ROUND(MOD(G655,1),1)&lt;=0.4,INT(G655)-1,INT(G655))))</f>
        <v/>
      </c>
      <c r="I655" s="56" t="n"/>
      <c r="J655" s="57">
        <f>IF(H655="","",IF(LOWER(A655)="gl",H655-2,IF(H655&gt;=60,H655-5,IF(AND(H655&gt;=50,H655&lt;60),H655-4,IF(AND(H655&gt;=10,H655&lt;50),H655-3,H655)))))</f>
        <v/>
      </c>
      <c r="K655" s="57" t="n"/>
    </row>
    <row r="656" ht="15" customHeight="1">
      <c r="A656" s="10" t="n"/>
      <c r="B656" s="2" t="n">
        <v>653</v>
      </c>
      <c r="C656" s="3" t="n"/>
      <c r="D656" s="3" t="n"/>
      <c r="E656" s="2" t="n"/>
      <c r="F656" s="5">
        <f>IF(E656="","",E656*1000)</f>
        <v/>
      </c>
      <c r="G656" s="23" t="n"/>
      <c r="H656" s="56">
        <f>IF(I656&lt;&gt;"",I656,IF(G656="","",IF(ROUND(MOD(G656,1),1)&lt;=0.4,INT(G656)-1,INT(G656))))</f>
        <v/>
      </c>
      <c r="I656" s="56" t="n"/>
      <c r="J656" s="57">
        <f>IF(H656="","",IF(LOWER(A656)="gl",H656-2,IF(H656&gt;=60,H656-5,IF(AND(H656&gt;=50,H656&lt;60),H656-4,IF(AND(H656&gt;=10,H656&lt;50),H656-3,H656)))))</f>
        <v/>
      </c>
      <c r="K656" s="57" t="n"/>
    </row>
    <row r="657" ht="15" customHeight="1">
      <c r="A657" s="10" t="n"/>
      <c r="B657" s="2" t="n">
        <v>654</v>
      </c>
      <c r="C657" s="3" t="n"/>
      <c r="D657" s="3" t="n"/>
      <c r="E657" s="2" t="n"/>
      <c r="F657" s="5">
        <f>IF(E657="","",E657*1000)</f>
        <v/>
      </c>
      <c r="G657" s="23" t="n"/>
      <c r="H657" s="56">
        <f>IF(I657&lt;&gt;"",I657,IF(G657="","",IF(ROUND(MOD(G657,1),1)&lt;=0.4,INT(G657)-1,INT(G657))))</f>
        <v/>
      </c>
      <c r="I657" s="56" t="n"/>
      <c r="J657" s="57">
        <f>IF(H657="","",IF(LOWER(A657)="gl",H657-2,IF(H657&gt;=60,H657-5,IF(AND(H657&gt;=50,H657&lt;60),H657-4,IF(AND(H657&gt;=10,H657&lt;50),H657-3,H657)))))</f>
        <v/>
      </c>
      <c r="K657" s="57" t="n"/>
    </row>
    <row r="658" ht="15" customHeight="1">
      <c r="A658" s="10" t="n"/>
      <c r="B658" s="2" t="n">
        <v>655</v>
      </c>
      <c r="C658" s="3" t="n"/>
      <c r="D658" s="3" t="n"/>
      <c r="E658" s="2" t="n"/>
      <c r="F658" s="5">
        <f>IF(E658="","",E658*1000)</f>
        <v/>
      </c>
      <c r="G658" s="23" t="n"/>
      <c r="H658" s="56">
        <f>IF(I658&lt;&gt;"",I658,IF(G658="","",IF(ROUND(MOD(G658,1),1)&lt;=0.4,INT(G658)-1,INT(G658))))</f>
        <v/>
      </c>
      <c r="I658" s="56" t="n"/>
      <c r="J658" s="57">
        <f>IF(H658="","",IF(LOWER(A658)="gl",H658-2,IF(H658&gt;=60,H658-5,IF(AND(H658&gt;=50,H658&lt;60),H658-4,IF(AND(H658&gt;=10,H658&lt;50),H658-3,H658)))))</f>
        <v/>
      </c>
      <c r="K658" s="57" t="n"/>
    </row>
    <row r="659" ht="15" customHeight="1">
      <c r="A659" s="10" t="n"/>
      <c r="B659" s="2" t="n">
        <v>656</v>
      </c>
      <c r="C659" s="3" t="n"/>
      <c r="D659" s="3" t="n"/>
      <c r="E659" s="2" t="n"/>
      <c r="F659" s="5">
        <f>IF(E659="","",E659*1000)</f>
        <v/>
      </c>
      <c r="G659" s="23" t="n"/>
      <c r="H659" s="56">
        <f>IF(I659&lt;&gt;"",I659,IF(G659="","",IF(ROUND(MOD(G659,1),1)&lt;=0.4,INT(G659)-1,INT(G659))))</f>
        <v/>
      </c>
      <c r="I659" s="56" t="n"/>
      <c r="J659" s="57">
        <f>IF(H659="","",IF(LOWER(A659)="gl",H659-2,IF(H659&gt;=60,H659-5,IF(AND(H659&gt;=50,H659&lt;60),H659-4,IF(AND(H659&gt;=10,H659&lt;50),H659-3,H659)))))</f>
        <v/>
      </c>
      <c r="K659" s="57" t="n"/>
    </row>
    <row r="660" ht="15" customHeight="1">
      <c r="A660" s="10" t="n"/>
      <c r="B660" s="2" t="n">
        <v>657</v>
      </c>
      <c r="C660" s="3" t="n"/>
      <c r="D660" s="3" t="n"/>
      <c r="E660" s="2" t="n"/>
      <c r="F660" s="5">
        <f>IF(E660="","",E660*1000)</f>
        <v/>
      </c>
      <c r="G660" s="23" t="n"/>
      <c r="H660" s="56">
        <f>IF(I660&lt;&gt;"",I660,IF(G660="","",IF(ROUND(MOD(G660,1),1)&lt;=0.4,INT(G660)-1,INT(G660))))</f>
        <v/>
      </c>
      <c r="I660" s="56" t="n"/>
      <c r="J660" s="57">
        <f>IF(H660="","",IF(LOWER(A660)="gl",H660-2,IF(H660&gt;=60,H660-5,IF(AND(H660&gt;=50,H660&lt;60),H660-4,IF(AND(H660&gt;=10,H660&lt;50),H660-3,H660)))))</f>
        <v/>
      </c>
      <c r="K660" s="57" t="n"/>
    </row>
    <row r="661" ht="15" customHeight="1">
      <c r="A661" s="10" t="n"/>
      <c r="B661" s="2" t="n">
        <v>658</v>
      </c>
      <c r="C661" s="3" t="n"/>
      <c r="D661" s="3" t="n"/>
      <c r="E661" s="2" t="n"/>
      <c r="F661" s="5">
        <f>IF(E661="","",E661*1000)</f>
        <v/>
      </c>
      <c r="G661" s="23" t="n"/>
      <c r="H661" s="56">
        <f>IF(I661&lt;&gt;"",I661,IF(G661="","",IF(ROUND(MOD(G661,1),1)&lt;=0.4,INT(G661)-1,INT(G661))))</f>
        <v/>
      </c>
      <c r="I661" s="56" t="n"/>
      <c r="J661" s="57">
        <f>IF(H661="","",IF(LOWER(A661)="gl",H661-2,IF(H661&gt;=60,H661-5,IF(AND(H661&gt;=50,H661&lt;60),H661-4,IF(AND(H661&gt;=10,H661&lt;50),H661-3,H661)))))</f>
        <v/>
      </c>
      <c r="K661" s="57" t="n"/>
    </row>
    <row r="662" ht="15" customHeight="1">
      <c r="A662" s="10" t="n"/>
      <c r="B662" s="2" t="n">
        <v>659</v>
      </c>
      <c r="C662" s="3" t="n"/>
      <c r="D662" s="3" t="n"/>
      <c r="E662" s="2" t="n"/>
      <c r="F662" s="5">
        <f>IF(E662="","",E662*1000)</f>
        <v/>
      </c>
      <c r="G662" s="23" t="n"/>
      <c r="H662" s="56">
        <f>IF(I662&lt;&gt;"",I662,IF(G662="","",IF(ROUND(MOD(G662,1),1)&lt;=0.4,INT(G662)-1,INT(G662))))</f>
        <v/>
      </c>
      <c r="I662" s="56" t="n"/>
      <c r="J662" s="57">
        <f>IF(H662="","",IF(LOWER(A662)="gl",H662-2,IF(H662&gt;=60,H662-5,IF(AND(H662&gt;=50,H662&lt;60),H662-4,IF(AND(H662&gt;=10,H662&lt;50),H662-3,H662)))))</f>
        <v/>
      </c>
      <c r="K662" s="57" t="n"/>
    </row>
    <row r="663" ht="15" customHeight="1">
      <c r="A663" s="10" t="n"/>
      <c r="B663" s="2" t="n">
        <v>660</v>
      </c>
      <c r="C663" s="3" t="n"/>
      <c r="D663" s="3" t="n"/>
      <c r="E663" s="2" t="n"/>
      <c r="F663" s="5">
        <f>IF(E663="","",E663*1000)</f>
        <v/>
      </c>
      <c r="G663" s="23" t="n"/>
      <c r="H663" s="56">
        <f>IF(I663&lt;&gt;"",I663,IF(G663="","",IF(ROUND(MOD(G663,1),1)&lt;=0.4,INT(G663)-1,INT(G663))))</f>
        <v/>
      </c>
      <c r="I663" s="56" t="n"/>
      <c r="J663" s="57">
        <f>IF(H663="","",IF(LOWER(A663)="gl",H663-2,IF(H663&gt;=60,H663-5,IF(AND(H663&gt;=50,H663&lt;60),H663-4,IF(AND(H663&gt;=10,H663&lt;50),H663-3,H663)))))</f>
        <v/>
      </c>
      <c r="K663" s="57" t="n"/>
    </row>
    <row r="664" ht="15" customHeight="1">
      <c r="A664" s="10" t="n"/>
      <c r="B664" s="2" t="n">
        <v>661</v>
      </c>
      <c r="C664" s="3" t="n"/>
      <c r="D664" s="3" t="n"/>
      <c r="E664" s="2" t="n"/>
      <c r="F664" s="5">
        <f>IF(E664="","",E664*1000)</f>
        <v/>
      </c>
      <c r="G664" s="23" t="n"/>
      <c r="H664" s="56">
        <f>IF(I664&lt;&gt;"",I664,IF(G664="","",IF(ROUND(MOD(G664,1),1)&lt;=0.4,INT(G664)-1,INT(G664))))</f>
        <v/>
      </c>
      <c r="I664" s="56" t="n"/>
      <c r="J664" s="57">
        <f>IF(H664="","",IF(LOWER(A664)="gl",H664-2,IF(H664&gt;=60,H664-5,IF(AND(H664&gt;=50,H664&lt;60),H664-4,IF(AND(H664&gt;=10,H664&lt;50),H664-3,H664)))))</f>
        <v/>
      </c>
      <c r="K664" s="57" t="n"/>
    </row>
    <row r="665" ht="15" customHeight="1">
      <c r="A665" s="10" t="n"/>
      <c r="B665" s="2" t="n">
        <v>662</v>
      </c>
      <c r="C665" s="3" t="n"/>
      <c r="D665" s="3" t="n"/>
      <c r="E665" s="2" t="n"/>
      <c r="F665" s="5">
        <f>IF(E665="","",E665*1000)</f>
        <v/>
      </c>
      <c r="G665" s="23" t="n"/>
      <c r="H665" s="56">
        <f>IF(I665&lt;&gt;"",I665,IF(G665="","",IF(ROUND(MOD(G665,1),1)&lt;=0.4,INT(G665)-1,INT(G665))))</f>
        <v/>
      </c>
      <c r="I665" s="56" t="n"/>
      <c r="J665" s="57">
        <f>IF(H665="","",IF(LOWER(A665)="gl",H665-2,IF(H665&gt;=60,H665-5,IF(AND(H665&gt;=50,H665&lt;60),H665-4,IF(AND(H665&gt;=10,H665&lt;50),H665-3,H665)))))</f>
        <v/>
      </c>
      <c r="K665" s="57" t="n"/>
    </row>
    <row r="666" ht="15" customHeight="1">
      <c r="A666" s="10" t="n"/>
      <c r="B666" s="2" t="n">
        <v>663</v>
      </c>
      <c r="C666" s="3" t="n"/>
      <c r="D666" s="3" t="n"/>
      <c r="E666" s="2" t="n"/>
      <c r="F666" s="5">
        <f>IF(E666="","",E666*1000)</f>
        <v/>
      </c>
      <c r="G666" s="23" t="n"/>
      <c r="H666" s="56">
        <f>IF(I666&lt;&gt;"",I666,IF(G666="","",IF(ROUND(MOD(G666,1),1)&lt;=0.4,INT(G666)-1,INT(G666))))</f>
        <v/>
      </c>
      <c r="I666" s="56" t="n"/>
      <c r="J666" s="57">
        <f>IF(H666="","",IF(LOWER(A666)="gl",H666-2,IF(H666&gt;=60,H666-5,IF(AND(H666&gt;=50,H666&lt;60),H666-4,IF(AND(H666&gt;=10,H666&lt;50),H666-3,H666)))))</f>
        <v/>
      </c>
      <c r="K666" s="57" t="n"/>
    </row>
    <row r="667" ht="15" customHeight="1">
      <c r="A667" s="10" t="n"/>
      <c r="B667" s="2" t="n">
        <v>664</v>
      </c>
      <c r="C667" s="3" t="n"/>
      <c r="D667" s="3" t="n"/>
      <c r="E667" s="2" t="n"/>
      <c r="F667" s="5">
        <f>IF(E667="","",E667*1000)</f>
        <v/>
      </c>
      <c r="G667" s="23" t="n"/>
      <c r="H667" s="56">
        <f>IF(I667&lt;&gt;"",I667,IF(G667="","",IF(ROUND(MOD(G667,1),1)&lt;=0.4,INT(G667)-1,INT(G667))))</f>
        <v/>
      </c>
      <c r="I667" s="56" t="n"/>
      <c r="J667" s="57">
        <f>IF(H667="","",IF(LOWER(A667)="gl",H667-2,IF(H667&gt;=60,H667-5,IF(AND(H667&gt;=50,H667&lt;60),H667-4,IF(AND(H667&gt;=10,H667&lt;50),H667-3,H667)))))</f>
        <v/>
      </c>
      <c r="K667" s="57" t="n"/>
    </row>
    <row r="668" ht="15" customHeight="1">
      <c r="A668" s="10" t="n"/>
      <c r="B668" s="2" t="n">
        <v>665</v>
      </c>
      <c r="C668" s="3" t="n"/>
      <c r="D668" s="3" t="n"/>
      <c r="E668" s="2" t="n"/>
      <c r="F668" s="5">
        <f>IF(E668="","",E668*1000)</f>
        <v/>
      </c>
      <c r="G668" s="23" t="n"/>
      <c r="H668" s="56">
        <f>IF(I668&lt;&gt;"",I668,IF(G668="","",IF(ROUND(MOD(G668,1),1)&lt;=0.4,INT(G668)-1,INT(G668))))</f>
        <v/>
      </c>
      <c r="I668" s="56" t="n"/>
      <c r="J668" s="57">
        <f>IF(H668="","",IF(LOWER(A668)="gl",H668-2,IF(H668&gt;=60,H668-5,IF(AND(H668&gt;=50,H668&lt;60),H668-4,IF(AND(H668&gt;=10,H668&lt;50),H668-3,H668)))))</f>
        <v/>
      </c>
      <c r="K668" s="57" t="n"/>
    </row>
    <row r="669" ht="15" customHeight="1">
      <c r="A669" s="10" t="n"/>
      <c r="B669" s="2" t="n">
        <v>666</v>
      </c>
      <c r="C669" s="3" t="n"/>
      <c r="D669" s="3" t="n"/>
      <c r="E669" s="2" t="n"/>
      <c r="F669" s="5">
        <f>IF(E669="","",E669*1000)</f>
        <v/>
      </c>
      <c r="G669" s="23" t="n"/>
      <c r="H669" s="56">
        <f>IF(I669&lt;&gt;"",I669,IF(G669="","",IF(ROUND(MOD(G669,1),1)&lt;=0.4,INT(G669)-1,INT(G669))))</f>
        <v/>
      </c>
      <c r="I669" s="56" t="n"/>
      <c r="J669" s="57">
        <f>IF(H669="","",IF(LOWER(A669)="gl",H669-2,IF(H669&gt;=60,H669-5,IF(AND(H669&gt;=50,H669&lt;60),H669-4,IF(AND(H669&gt;=10,H669&lt;50),H669-3,H669)))))</f>
        <v/>
      </c>
      <c r="K669" s="57" t="n"/>
    </row>
    <row r="670" ht="15" customHeight="1">
      <c r="A670" s="10" t="n"/>
      <c r="B670" s="2" t="n">
        <v>667</v>
      </c>
      <c r="C670" s="3" t="n"/>
      <c r="D670" s="3" t="n"/>
      <c r="E670" s="2" t="n"/>
      <c r="F670" s="5">
        <f>IF(E670="","",E670*1000)</f>
        <v/>
      </c>
      <c r="G670" s="23" t="n"/>
      <c r="H670" s="56">
        <f>IF(I670&lt;&gt;"",I670,IF(G670="","",IF(ROUND(MOD(G670,1),1)&lt;=0.4,INT(G670)-1,INT(G670))))</f>
        <v/>
      </c>
      <c r="I670" s="56" t="n"/>
      <c r="J670" s="57">
        <f>IF(H670="","",IF(LOWER(A670)="gl",H670-2,IF(H670&gt;=60,H670-5,IF(AND(H670&gt;=50,H670&lt;60),H670-4,IF(AND(H670&gt;=10,H670&lt;50),H670-3,H670)))))</f>
        <v/>
      </c>
      <c r="K670" s="57" t="n"/>
    </row>
    <row r="671" ht="15" customHeight="1">
      <c r="A671" s="10" t="n"/>
      <c r="B671" s="2" t="n">
        <v>668</v>
      </c>
      <c r="C671" s="3" t="n"/>
      <c r="D671" s="3" t="n"/>
      <c r="E671" s="2" t="n"/>
      <c r="F671" s="5">
        <f>IF(E671="","",E671*1000)</f>
        <v/>
      </c>
      <c r="G671" s="23" t="n"/>
      <c r="H671" s="56">
        <f>IF(I671&lt;&gt;"",I671,IF(G671="","",IF(ROUND(MOD(G671,1),1)&lt;=0.4,INT(G671)-1,INT(G671))))</f>
        <v/>
      </c>
      <c r="I671" s="56" t="n"/>
      <c r="J671" s="57">
        <f>IF(H671="","",IF(LOWER(A671)="gl",H671-2,IF(H671&gt;=60,H671-5,IF(AND(H671&gt;=50,H671&lt;60),H671-4,IF(AND(H671&gt;=10,H671&lt;50),H671-3,H671)))))</f>
        <v/>
      </c>
      <c r="K671" s="57" t="n"/>
    </row>
    <row r="672" ht="15" customHeight="1">
      <c r="A672" s="10" t="n"/>
      <c r="B672" s="2" t="n">
        <v>669</v>
      </c>
      <c r="C672" s="3" t="n"/>
      <c r="D672" s="3" t="n"/>
      <c r="E672" s="2" t="n"/>
      <c r="F672" s="5">
        <f>IF(E672="","",E672*1000)</f>
        <v/>
      </c>
      <c r="G672" s="23" t="n"/>
      <c r="H672" s="56">
        <f>IF(I672&lt;&gt;"",I672,IF(G672="","",IF(ROUND(MOD(G672,1),1)&lt;=0.4,INT(G672)-1,INT(G672))))</f>
        <v/>
      </c>
      <c r="I672" s="56" t="n"/>
      <c r="J672" s="57">
        <f>IF(H672="","",IF(LOWER(A672)="gl",H672-2,IF(H672&gt;=60,H672-5,IF(AND(H672&gt;=50,H672&lt;60),H672-4,IF(AND(H672&gt;=10,H672&lt;50),H672-3,H672)))))</f>
        <v/>
      </c>
      <c r="K672" s="57" t="n"/>
    </row>
    <row r="673" ht="15" customHeight="1">
      <c r="A673" s="10" t="n"/>
      <c r="B673" s="2" t="n">
        <v>670</v>
      </c>
      <c r="C673" s="3" t="n"/>
      <c r="D673" s="3" t="n"/>
      <c r="E673" s="2" t="n"/>
      <c r="F673" s="5">
        <f>IF(E673="","",E673*1000)</f>
        <v/>
      </c>
      <c r="G673" s="23" t="n"/>
      <c r="H673" s="56">
        <f>IF(I673&lt;&gt;"",I673,IF(G673="","",IF(ROUND(MOD(G673,1),1)&lt;=0.4,INT(G673)-1,INT(G673))))</f>
        <v/>
      </c>
      <c r="I673" s="56" t="n"/>
      <c r="J673" s="57">
        <f>IF(H673="","",IF(LOWER(A673)="gl",H673-2,IF(H673&gt;=60,H673-5,IF(AND(H673&gt;=50,H673&lt;60),H673-4,IF(AND(H673&gt;=10,H673&lt;50),H673-3,H673)))))</f>
        <v/>
      </c>
      <c r="K673" s="57" t="n"/>
    </row>
    <row r="674" ht="15" customHeight="1">
      <c r="A674" s="10" t="n"/>
      <c r="B674" s="2" t="n">
        <v>671</v>
      </c>
      <c r="C674" s="3" t="n"/>
      <c r="D674" s="3" t="n"/>
      <c r="E674" s="2" t="n"/>
      <c r="F674" s="5">
        <f>IF(E674="","",E674*1000)</f>
        <v/>
      </c>
      <c r="G674" s="23" t="n"/>
      <c r="H674" s="56">
        <f>IF(I674&lt;&gt;"",I674,IF(G674="","",IF(ROUND(MOD(G674,1),1)&lt;=0.4,INT(G674)-1,INT(G674))))</f>
        <v/>
      </c>
      <c r="I674" s="56" t="n"/>
      <c r="J674" s="57">
        <f>IF(H674="","",IF(LOWER(A674)="gl",H674-2,IF(H674&gt;=60,H674-5,IF(AND(H674&gt;=50,H674&lt;60),H674-4,IF(AND(H674&gt;=10,H674&lt;50),H674-3,H674)))))</f>
        <v/>
      </c>
      <c r="K674" s="57" t="n"/>
    </row>
    <row r="675" ht="15" customHeight="1">
      <c r="A675" s="10" t="n"/>
      <c r="B675" s="2" t="n">
        <v>672</v>
      </c>
      <c r="C675" s="3" t="n"/>
      <c r="D675" s="3" t="n"/>
      <c r="E675" s="2" t="n"/>
      <c r="F675" s="5">
        <f>IF(E675="","",E675*1000)</f>
        <v/>
      </c>
      <c r="G675" s="23" t="n"/>
      <c r="H675" s="56">
        <f>IF(I675&lt;&gt;"",I675,IF(G675="","",IF(ROUND(MOD(G675,1),1)&lt;=0.4,INT(G675)-1,INT(G675))))</f>
        <v/>
      </c>
      <c r="I675" s="56" t="n"/>
      <c r="J675" s="57">
        <f>IF(H675="","",IF(LOWER(A675)="gl",H675-2,IF(H675&gt;=60,H675-5,IF(AND(H675&gt;=50,H675&lt;60),H675-4,IF(AND(H675&gt;=10,H675&lt;50),H675-3,H675)))))</f>
        <v/>
      </c>
      <c r="K675" s="57" t="n"/>
    </row>
    <row r="676" ht="15" customHeight="1">
      <c r="A676" s="10" t="n"/>
      <c r="B676" s="2" t="n">
        <v>673</v>
      </c>
      <c r="C676" s="3" t="n"/>
      <c r="D676" s="3" t="n"/>
      <c r="E676" s="2" t="n"/>
      <c r="F676" s="5">
        <f>IF(E676="","",E676*1000)</f>
        <v/>
      </c>
      <c r="G676" s="23" t="n"/>
      <c r="H676" s="56">
        <f>IF(I676&lt;&gt;"",I676,IF(G676="","",IF(ROUND(MOD(G676,1),1)&lt;=0.4,INT(G676)-1,INT(G676))))</f>
        <v/>
      </c>
      <c r="I676" s="56" t="n"/>
      <c r="J676" s="57">
        <f>IF(H676="","",IF(LOWER(A676)="gl",H676-2,IF(H676&gt;=60,H676-5,IF(AND(H676&gt;=50,H676&lt;60),H676-4,IF(AND(H676&gt;=10,H676&lt;50),H676-3,H676)))))</f>
        <v/>
      </c>
      <c r="K676" s="57" t="n"/>
    </row>
    <row r="677" ht="15" customHeight="1">
      <c r="A677" s="10" t="n"/>
      <c r="B677" s="2" t="n">
        <v>674</v>
      </c>
      <c r="C677" s="3" t="n"/>
      <c r="D677" s="3" t="n"/>
      <c r="E677" s="2" t="n"/>
      <c r="F677" s="5">
        <f>IF(E677="","",E677*1000)</f>
        <v/>
      </c>
      <c r="G677" s="23" t="n"/>
      <c r="H677" s="56">
        <f>IF(I677&lt;&gt;"",I677,IF(G677="","",IF(ROUND(MOD(G677,1),1)&lt;=0.4,INT(G677)-1,INT(G677))))</f>
        <v/>
      </c>
      <c r="I677" s="56" t="n"/>
      <c r="J677" s="57">
        <f>IF(H677="","",IF(LOWER(A677)="gl",H677-2,IF(H677&gt;=60,H677-5,IF(AND(H677&gt;=50,H677&lt;60),H677-4,IF(AND(H677&gt;=10,H677&lt;50),H677-3,H677)))))</f>
        <v/>
      </c>
      <c r="K677" s="57" t="n"/>
    </row>
    <row r="678" ht="15" customHeight="1">
      <c r="A678" s="10" t="n"/>
      <c r="B678" s="2" t="n">
        <v>675</v>
      </c>
      <c r="C678" s="3" t="n"/>
      <c r="D678" s="3" t="n"/>
      <c r="E678" s="2" t="n"/>
      <c r="F678" s="5">
        <f>IF(E678="","",E678*1000)</f>
        <v/>
      </c>
      <c r="G678" s="23" t="n"/>
      <c r="H678" s="56">
        <f>IF(I678&lt;&gt;"",I678,IF(G678="","",IF(ROUND(MOD(G678,1),1)&lt;=0.4,INT(G678)-1,INT(G678))))</f>
        <v/>
      </c>
      <c r="I678" s="56" t="n"/>
      <c r="J678" s="57">
        <f>IF(H678="","",IF(LOWER(A678)="gl",H678-2,IF(H678&gt;=60,H678-5,IF(AND(H678&gt;=50,H678&lt;60),H678-4,IF(AND(H678&gt;=10,H678&lt;50),H678-3,H678)))))</f>
        <v/>
      </c>
      <c r="K678" s="57" t="n"/>
    </row>
    <row r="679" ht="15" customHeight="1">
      <c r="A679" s="10" t="n"/>
      <c r="B679" s="2" t="n">
        <v>676</v>
      </c>
      <c r="C679" s="3" t="n"/>
      <c r="D679" s="3" t="n"/>
      <c r="E679" s="2" t="n"/>
      <c r="F679" s="5">
        <f>IF(E679="","",E679*1000)</f>
        <v/>
      </c>
      <c r="G679" s="23" t="n"/>
      <c r="H679" s="56">
        <f>IF(I679&lt;&gt;"",I679,IF(G679="","",IF(ROUND(MOD(G679,1),1)&lt;=0.4,INT(G679)-1,INT(G679))))</f>
        <v/>
      </c>
      <c r="I679" s="56" t="n"/>
      <c r="J679" s="57">
        <f>IF(H679="","",IF(LOWER(A679)="gl",H679-2,IF(H679&gt;=60,H679-5,IF(AND(H679&gt;=50,H679&lt;60),H679-4,IF(AND(H679&gt;=10,H679&lt;50),H679-3,H679)))))</f>
        <v/>
      </c>
      <c r="K679" s="57" t="n"/>
    </row>
    <row r="680" ht="15" customHeight="1">
      <c r="A680" s="10" t="n"/>
      <c r="B680" s="2" t="n">
        <v>677</v>
      </c>
      <c r="C680" s="3" t="n"/>
      <c r="D680" s="3" t="n"/>
      <c r="E680" s="2" t="n"/>
      <c r="F680" s="5">
        <f>IF(E680="","",E680*1000)</f>
        <v/>
      </c>
      <c r="G680" s="23" t="n"/>
      <c r="H680" s="56">
        <f>IF(I680&lt;&gt;"",I680,IF(G680="","",IF(ROUND(MOD(G680,1),1)&lt;=0.4,INT(G680)-1,INT(G680))))</f>
        <v/>
      </c>
      <c r="I680" s="56" t="n"/>
      <c r="J680" s="57">
        <f>IF(H680="","",IF(LOWER(A680)="gl",H680-2,IF(H680&gt;=60,H680-5,IF(AND(H680&gt;=50,H680&lt;60),H680-4,IF(AND(H680&gt;=10,H680&lt;50),H680-3,H680)))))</f>
        <v/>
      </c>
      <c r="K680" s="57" t="n"/>
    </row>
    <row r="681" ht="15" customHeight="1">
      <c r="A681" s="10" t="n"/>
      <c r="B681" s="2" t="n">
        <v>678</v>
      </c>
      <c r="C681" s="3" t="n"/>
      <c r="D681" s="3" t="n"/>
      <c r="E681" s="2" t="n"/>
      <c r="F681" s="5">
        <f>IF(E681="","",E681*1000)</f>
        <v/>
      </c>
      <c r="G681" s="23" t="n"/>
      <c r="H681" s="56">
        <f>IF(I681&lt;&gt;"",I681,IF(G681="","",IF(ROUND(MOD(G681,1),1)&lt;=0.4,INT(G681)-1,INT(G681))))</f>
        <v/>
      </c>
      <c r="I681" s="56" t="n"/>
      <c r="J681" s="57">
        <f>IF(H681="","",IF(LOWER(A681)="gl",H681-2,IF(H681&gt;=60,H681-5,IF(AND(H681&gt;=50,H681&lt;60),H681-4,IF(AND(H681&gt;=10,H681&lt;50),H681-3,H681)))))</f>
        <v/>
      </c>
      <c r="K681" s="57" t="n"/>
    </row>
    <row r="682" ht="15" customHeight="1">
      <c r="A682" s="10" t="n"/>
      <c r="B682" s="2" t="n">
        <v>679</v>
      </c>
      <c r="C682" s="3" t="n"/>
      <c r="D682" s="3" t="n"/>
      <c r="E682" s="2" t="n"/>
      <c r="F682" s="5">
        <f>IF(E682="","",E682*1000)</f>
        <v/>
      </c>
      <c r="G682" s="23" t="n"/>
      <c r="H682" s="56">
        <f>IF(I682&lt;&gt;"",I682,IF(G682="","",IF(ROUND(MOD(G682,1),1)&lt;=0.4,INT(G682)-1,INT(G682))))</f>
        <v/>
      </c>
      <c r="I682" s="56" t="n"/>
      <c r="J682" s="57">
        <f>IF(H682="","",IF(LOWER(A682)="gl",H682-2,IF(H682&gt;=60,H682-5,IF(AND(H682&gt;=50,H682&lt;60),H682-4,IF(AND(H682&gt;=10,H682&lt;50),H682-3,H682)))))</f>
        <v/>
      </c>
      <c r="K682" s="57" t="n"/>
    </row>
    <row r="683" ht="15" customHeight="1">
      <c r="A683" s="10" t="n"/>
      <c r="B683" s="2" t="n">
        <v>680</v>
      </c>
      <c r="C683" s="3" t="n"/>
      <c r="D683" s="3" t="n"/>
      <c r="E683" s="2" t="n"/>
      <c r="F683" s="5">
        <f>IF(E683="","",E683*1000)</f>
        <v/>
      </c>
      <c r="G683" s="23" t="n"/>
      <c r="H683" s="56">
        <f>IF(I683&lt;&gt;"",I683,IF(G683="","",IF(ROUND(MOD(G683,1),1)&lt;=0.4,INT(G683)-1,INT(G683))))</f>
        <v/>
      </c>
      <c r="I683" s="56" t="n"/>
      <c r="J683" s="57">
        <f>IF(H683="","",IF(LOWER(A683)="gl",H683-2,IF(H683&gt;=60,H683-5,IF(AND(H683&gt;=50,H683&lt;60),H683-4,IF(AND(H683&gt;=10,H683&lt;50),H683-3,H683)))))</f>
        <v/>
      </c>
      <c r="K683" s="57" t="n"/>
    </row>
    <row r="684" ht="15" customHeight="1">
      <c r="A684" s="10" t="n"/>
      <c r="B684" s="2" t="n">
        <v>681</v>
      </c>
      <c r="C684" s="3" t="n"/>
      <c r="D684" s="3" t="n"/>
      <c r="E684" s="2" t="n"/>
      <c r="F684" s="5">
        <f>IF(E684="","",E684*1000)</f>
        <v/>
      </c>
      <c r="G684" s="23" t="n"/>
      <c r="H684" s="56">
        <f>IF(I684&lt;&gt;"",I684,IF(G684="","",IF(ROUND(MOD(G684,1),1)&lt;=0.4,INT(G684)-1,INT(G684))))</f>
        <v/>
      </c>
      <c r="I684" s="56" t="n"/>
      <c r="J684" s="57">
        <f>IF(H684="","",IF(LOWER(A684)="gl",H684-2,IF(H684&gt;=60,H684-5,IF(AND(H684&gt;=50,H684&lt;60),H684-4,IF(AND(H684&gt;=10,H684&lt;50),H684-3,H684)))))</f>
        <v/>
      </c>
      <c r="K684" s="57" t="n"/>
    </row>
    <row r="685" ht="15" customHeight="1">
      <c r="A685" s="10" t="n"/>
      <c r="B685" s="2" t="n">
        <v>682</v>
      </c>
      <c r="C685" s="3" t="n"/>
      <c r="D685" s="3" t="n"/>
      <c r="E685" s="2" t="n"/>
      <c r="F685" s="5">
        <f>IF(E685="","",E685*1000)</f>
        <v/>
      </c>
      <c r="G685" s="23" t="n"/>
      <c r="H685" s="56">
        <f>IF(I685&lt;&gt;"",I685,IF(G685="","",IF(ROUND(MOD(G685,1),1)&lt;=0.4,INT(G685)-1,INT(G685))))</f>
        <v/>
      </c>
      <c r="I685" s="56" t="n"/>
      <c r="J685" s="57">
        <f>IF(H685="","",IF(LOWER(A685)="gl",H685-2,IF(H685&gt;=60,H685-5,IF(AND(H685&gt;=50,H685&lt;60),H685-4,IF(AND(H685&gt;=10,H685&lt;50),H685-3,H685)))))</f>
        <v/>
      </c>
      <c r="K685" s="57" t="n"/>
    </row>
    <row r="686" ht="15" customHeight="1">
      <c r="A686" s="10" t="n"/>
      <c r="B686" s="2" t="n">
        <v>683</v>
      </c>
      <c r="C686" s="3" t="n"/>
      <c r="D686" s="3" t="n"/>
      <c r="E686" s="2" t="n"/>
      <c r="F686" s="5">
        <f>IF(E686="","",E686*1000)</f>
        <v/>
      </c>
      <c r="G686" s="23" t="n"/>
      <c r="H686" s="56">
        <f>IF(I686&lt;&gt;"",I686,IF(G686="","",IF(ROUND(MOD(G686,1),1)&lt;=0.4,INT(G686)-1,INT(G686))))</f>
        <v/>
      </c>
      <c r="I686" s="56" t="n"/>
      <c r="J686" s="57">
        <f>IF(H686="","",IF(LOWER(A686)="gl",H686-2,IF(H686&gt;=60,H686-5,IF(AND(H686&gt;=50,H686&lt;60),H686-4,IF(AND(H686&gt;=10,H686&lt;50),H686-3,H686)))))</f>
        <v/>
      </c>
      <c r="K686" s="57" t="n"/>
    </row>
    <row r="687" ht="15" customHeight="1">
      <c r="A687" s="10" t="n"/>
      <c r="B687" s="2" t="n">
        <v>684</v>
      </c>
      <c r="C687" s="3" t="n"/>
      <c r="D687" s="3" t="n"/>
      <c r="E687" s="2" t="n"/>
      <c r="F687" s="5">
        <f>IF(E687="","",E687*1000)</f>
        <v/>
      </c>
      <c r="G687" s="23" t="n"/>
      <c r="H687" s="56">
        <f>IF(I687&lt;&gt;"",I687,IF(G687="","",IF(ROUND(MOD(G687,1),1)&lt;=0.4,INT(G687)-1,INT(G687))))</f>
        <v/>
      </c>
      <c r="I687" s="56" t="n"/>
      <c r="J687" s="57">
        <f>IF(H687="","",IF(LOWER(A687)="gl",H687-2,IF(H687&gt;=60,H687-5,IF(AND(H687&gt;=50,H687&lt;60),H687-4,IF(AND(H687&gt;=10,H687&lt;50),H687-3,H687)))))</f>
        <v/>
      </c>
      <c r="K687" s="57" t="n"/>
    </row>
    <row r="688" ht="15" customHeight="1">
      <c r="A688" s="10" t="n"/>
      <c r="B688" s="2" t="n">
        <v>685</v>
      </c>
      <c r="C688" s="3" t="n"/>
      <c r="D688" s="3" t="n"/>
      <c r="E688" s="2" t="n"/>
      <c r="F688" s="5">
        <f>IF(E688="","",E688*1000)</f>
        <v/>
      </c>
      <c r="G688" s="23" t="n"/>
      <c r="H688" s="56">
        <f>IF(I688&lt;&gt;"",I688,IF(G688="","",IF(ROUND(MOD(G688,1),1)&lt;=0.4,INT(G688)-1,INT(G688))))</f>
        <v/>
      </c>
      <c r="I688" s="56" t="n"/>
      <c r="J688" s="57">
        <f>IF(H688="","",IF(LOWER(A688)="gl",H688-2,IF(H688&gt;=60,H688-5,IF(AND(H688&gt;=50,H688&lt;60),H688-4,IF(AND(H688&gt;=10,H688&lt;50),H688-3,H688)))))</f>
        <v/>
      </c>
      <c r="K688" s="57" t="n"/>
    </row>
    <row r="689" ht="15" customHeight="1">
      <c r="A689" s="10" t="n"/>
      <c r="B689" s="2" t="n">
        <v>686</v>
      </c>
      <c r="C689" s="3" t="n"/>
      <c r="D689" s="3" t="n"/>
      <c r="E689" s="2" t="n"/>
      <c r="F689" s="5">
        <f>IF(E689="","",E689*1000)</f>
        <v/>
      </c>
      <c r="G689" s="23" t="n"/>
      <c r="H689" s="56">
        <f>IF(I689&lt;&gt;"",I689,IF(G689="","",IF(ROUND(MOD(G689,1),1)&lt;=0.4,INT(G689)-1,INT(G689))))</f>
        <v/>
      </c>
      <c r="I689" s="56" t="n"/>
      <c r="J689" s="57">
        <f>IF(H689="","",IF(LOWER(A689)="gl",H689-2,IF(H689&gt;=60,H689-5,IF(AND(H689&gt;=50,H689&lt;60),H689-4,IF(AND(H689&gt;=10,H689&lt;50),H689-3,H689)))))</f>
        <v/>
      </c>
      <c r="K689" s="57" t="n"/>
    </row>
    <row r="690" ht="15" customHeight="1">
      <c r="A690" s="10" t="n"/>
      <c r="B690" s="2" t="n">
        <v>687</v>
      </c>
      <c r="C690" s="3" t="n"/>
      <c r="D690" s="3" t="n"/>
      <c r="E690" s="2" t="n"/>
      <c r="F690" s="5">
        <f>IF(E690="","",E690*1000)</f>
        <v/>
      </c>
      <c r="G690" s="23" t="n"/>
      <c r="H690" s="56">
        <f>IF(I690&lt;&gt;"",I690,IF(G690="","",IF(ROUND(MOD(G690,1),1)&lt;=0.4,INT(G690)-1,INT(G690))))</f>
        <v/>
      </c>
      <c r="I690" s="56" t="n"/>
      <c r="J690" s="57">
        <f>IF(H690="","",IF(LOWER(A690)="gl",H690-2,IF(H690&gt;=60,H690-5,IF(AND(H690&gt;=50,H690&lt;60),H690-4,IF(AND(H690&gt;=10,H690&lt;50),H690-3,H690)))))</f>
        <v/>
      </c>
      <c r="K690" s="57" t="n"/>
    </row>
    <row r="691" ht="15" customHeight="1">
      <c r="A691" s="10" t="n"/>
      <c r="B691" s="2" t="n">
        <v>688</v>
      </c>
      <c r="C691" s="3" t="n"/>
      <c r="D691" s="3" t="n"/>
      <c r="E691" s="2" t="n"/>
      <c r="F691" s="5">
        <f>IF(E691="","",E691*1000)</f>
        <v/>
      </c>
      <c r="G691" s="23" t="n"/>
      <c r="H691" s="56">
        <f>IF(I691&lt;&gt;"",I691,IF(G691="","",IF(ROUND(MOD(G691,1),1)&lt;=0.4,INT(G691)-1,INT(G691))))</f>
        <v/>
      </c>
      <c r="I691" s="56" t="n"/>
      <c r="J691" s="57">
        <f>IF(H691="","",IF(LOWER(A691)="gl",H691-2,IF(H691&gt;=60,H691-5,IF(AND(H691&gt;=50,H691&lt;60),H691-4,IF(AND(H691&gt;=10,H691&lt;50),H691-3,H691)))))</f>
        <v/>
      </c>
      <c r="K691" s="57" t="n"/>
    </row>
    <row r="692" ht="15" customHeight="1">
      <c r="A692" s="10" t="n"/>
      <c r="B692" s="2" t="n">
        <v>689</v>
      </c>
      <c r="C692" s="3" t="n"/>
      <c r="D692" s="3" t="n"/>
      <c r="E692" s="2" t="n"/>
      <c r="F692" s="5">
        <f>IF(E692="","",E692*1000)</f>
        <v/>
      </c>
      <c r="G692" s="23" t="n"/>
      <c r="H692" s="56">
        <f>IF(I692&lt;&gt;"",I692,IF(G692="","",IF(ROUND(MOD(G692,1),1)&lt;=0.4,INT(G692)-1,INT(G692))))</f>
        <v/>
      </c>
      <c r="I692" s="56" t="n"/>
      <c r="J692" s="57">
        <f>IF(H692="","",IF(LOWER(A692)="gl",H692-2,IF(H692&gt;=60,H692-5,IF(AND(H692&gt;=50,H692&lt;60),H692-4,IF(AND(H692&gt;=10,H692&lt;50),H692-3,H692)))))</f>
        <v/>
      </c>
      <c r="K692" s="57" t="n"/>
    </row>
    <row r="693" ht="15" customHeight="1">
      <c r="A693" s="10" t="n"/>
      <c r="B693" s="2" t="n">
        <v>690</v>
      </c>
      <c r="C693" s="3" t="n"/>
      <c r="D693" s="3" t="n"/>
      <c r="E693" s="2" t="n"/>
      <c r="F693" s="5">
        <f>IF(E693="","",E693*1000)</f>
        <v/>
      </c>
      <c r="G693" s="23" t="n"/>
      <c r="H693" s="56">
        <f>IF(I693&lt;&gt;"",I693,IF(G693="","",IF(ROUND(MOD(G693,1),1)&lt;=0.4,INT(G693)-1,INT(G693))))</f>
        <v/>
      </c>
      <c r="I693" s="56" t="n"/>
      <c r="J693" s="57">
        <f>IF(H693="","",IF(LOWER(A693)="gl",H693-2,IF(H693&gt;=60,H693-5,IF(AND(H693&gt;=50,H693&lt;60),H693-4,IF(AND(H693&gt;=10,H693&lt;50),H693-3,H693)))))</f>
        <v/>
      </c>
      <c r="K693" s="57" t="n"/>
    </row>
    <row r="694" ht="15" customHeight="1">
      <c r="A694" s="10" t="n"/>
      <c r="B694" s="2" t="n">
        <v>691</v>
      </c>
      <c r="C694" s="3" t="n"/>
      <c r="D694" s="3" t="n"/>
      <c r="E694" s="2" t="n"/>
      <c r="F694" s="5">
        <f>IF(E694="","",E694*1000)</f>
        <v/>
      </c>
      <c r="G694" s="23" t="n"/>
      <c r="H694" s="56">
        <f>IF(I694&lt;&gt;"",I694,IF(G694="","",IF(ROUND(MOD(G694,1),1)&lt;=0.4,INT(G694)-1,INT(G694))))</f>
        <v/>
      </c>
      <c r="I694" s="56" t="n"/>
      <c r="J694" s="57">
        <f>IF(H694="","",IF(LOWER(A694)="gl",H694-2,IF(H694&gt;=60,H694-5,IF(AND(H694&gt;=50,H694&lt;60),H694-4,IF(AND(H694&gt;=10,H694&lt;50),H694-3,H694)))))</f>
        <v/>
      </c>
      <c r="K694" s="57" t="n"/>
    </row>
    <row r="695" ht="15" customHeight="1">
      <c r="A695" s="10" t="n"/>
      <c r="B695" s="2" t="n">
        <v>692</v>
      </c>
      <c r="C695" s="3" t="n"/>
      <c r="D695" s="3" t="n"/>
      <c r="E695" s="2" t="n"/>
      <c r="F695" s="5">
        <f>IF(E695="","",E695*1000)</f>
        <v/>
      </c>
      <c r="G695" s="23" t="n"/>
      <c r="H695" s="56">
        <f>IF(I695&lt;&gt;"",I695,IF(G695="","",IF(ROUND(MOD(G695,1),1)&lt;=0.4,INT(G695)-1,INT(G695))))</f>
        <v/>
      </c>
      <c r="I695" s="56" t="n"/>
      <c r="J695" s="57">
        <f>IF(H695="","",IF(LOWER(A695)="gl",H695-2,IF(H695&gt;=60,H695-5,IF(AND(H695&gt;=50,H695&lt;60),H695-4,IF(AND(H695&gt;=10,H695&lt;50),H695-3,H695)))))</f>
        <v/>
      </c>
      <c r="K695" s="57" t="n"/>
    </row>
    <row r="696" ht="15" customHeight="1">
      <c r="A696" s="10" t="n"/>
      <c r="B696" s="2" t="n">
        <v>693</v>
      </c>
      <c r="C696" s="3" t="n"/>
      <c r="D696" s="3" t="n"/>
      <c r="E696" s="2" t="n"/>
      <c r="F696" s="5">
        <f>IF(E696="","",E696*1000)</f>
        <v/>
      </c>
      <c r="G696" s="23" t="n"/>
      <c r="H696" s="56">
        <f>IF(I696&lt;&gt;"",I696,IF(G696="","",IF(ROUND(MOD(G696,1),1)&lt;=0.4,INT(G696)-1,INT(G696))))</f>
        <v/>
      </c>
      <c r="I696" s="56" t="n"/>
      <c r="J696" s="57">
        <f>IF(H696="","",IF(LOWER(A696)="gl",H696-2,IF(H696&gt;=60,H696-5,IF(AND(H696&gt;=50,H696&lt;60),H696-4,IF(AND(H696&gt;=10,H696&lt;50),H696-3,H696)))))</f>
        <v/>
      </c>
      <c r="K696" s="57" t="n"/>
    </row>
    <row r="697" ht="15" customHeight="1">
      <c r="A697" s="10" t="n"/>
      <c r="B697" s="2" t="n">
        <v>694</v>
      </c>
      <c r="C697" s="3" t="n"/>
      <c r="D697" s="3" t="n"/>
      <c r="E697" s="2" t="n"/>
      <c r="F697" s="5">
        <f>IF(E697="","",E697*1000)</f>
        <v/>
      </c>
      <c r="G697" s="23" t="n"/>
      <c r="H697" s="56">
        <f>IF(I697&lt;&gt;"",I697,IF(G697="","",IF(ROUND(MOD(G697,1),1)&lt;=0.4,INT(G697)-1,INT(G697))))</f>
        <v/>
      </c>
      <c r="I697" s="56" t="n"/>
      <c r="J697" s="57">
        <f>IF(H697="","",IF(LOWER(A697)="gl",H697-2,IF(H697&gt;=60,H697-5,IF(AND(H697&gt;=50,H697&lt;60),H697-4,IF(AND(H697&gt;=10,H697&lt;50),H697-3,H697)))))</f>
        <v/>
      </c>
      <c r="K697" s="57" t="n"/>
    </row>
    <row r="698" ht="15" customHeight="1">
      <c r="A698" s="10" t="n"/>
      <c r="B698" s="2" t="n">
        <v>695</v>
      </c>
      <c r="C698" s="3" t="n"/>
      <c r="D698" s="3" t="n"/>
      <c r="E698" s="2" t="n"/>
      <c r="F698" s="5">
        <f>IF(E698="","",E698*1000)</f>
        <v/>
      </c>
      <c r="G698" s="23" t="n"/>
      <c r="H698" s="56">
        <f>IF(I698&lt;&gt;"",I698,IF(G698="","",IF(ROUND(MOD(G698,1),1)&lt;=0.4,INT(G698)-1,INT(G698))))</f>
        <v/>
      </c>
      <c r="I698" s="56" t="n"/>
      <c r="J698" s="57">
        <f>IF(H698="","",IF(LOWER(A698)="gl",H698-2,IF(H698&gt;=60,H698-5,IF(AND(H698&gt;=50,H698&lt;60),H698-4,IF(AND(H698&gt;=10,H698&lt;50),H698-3,H698)))))</f>
        <v/>
      </c>
      <c r="K698" s="57" t="n"/>
    </row>
    <row r="699" ht="15" customHeight="1">
      <c r="A699" s="10" t="n"/>
      <c r="B699" s="2" t="n">
        <v>696</v>
      </c>
      <c r="C699" s="3" t="n"/>
      <c r="D699" s="3" t="n"/>
      <c r="E699" s="2" t="n"/>
      <c r="F699" s="5">
        <f>IF(E699="","",E699*1000)</f>
        <v/>
      </c>
      <c r="G699" s="23" t="n"/>
      <c r="H699" s="56">
        <f>IF(I699&lt;&gt;"",I699,IF(G699="","",IF(ROUND(MOD(G699,1),1)&lt;=0.4,INT(G699)-1,INT(G699))))</f>
        <v/>
      </c>
      <c r="I699" s="56" t="n"/>
      <c r="J699" s="57">
        <f>IF(H699="","",IF(LOWER(A699)="gl",H699-2,IF(H699&gt;=60,H699-5,IF(AND(H699&gt;=50,H699&lt;60),H699-4,IF(AND(H699&gt;=10,H699&lt;50),H699-3,H699)))))</f>
        <v/>
      </c>
      <c r="K699" s="57" t="n"/>
    </row>
    <row r="700" ht="15" customHeight="1">
      <c r="A700" s="10" t="n"/>
      <c r="B700" s="2" t="n">
        <v>697</v>
      </c>
      <c r="C700" s="3" t="n"/>
      <c r="D700" s="3" t="n"/>
      <c r="E700" s="2" t="n"/>
      <c r="F700" s="5">
        <f>IF(E700="","",E700*1000)</f>
        <v/>
      </c>
      <c r="G700" s="23" t="n"/>
      <c r="H700" s="56">
        <f>IF(I700&lt;&gt;"",I700,IF(G700="","",IF(ROUND(MOD(G700,1),1)&lt;=0.4,INT(G700)-1,INT(G700))))</f>
        <v/>
      </c>
      <c r="I700" s="56" t="n"/>
      <c r="J700" s="57">
        <f>IF(H700="","",IF(LOWER(A700)="gl",H700-2,IF(H700&gt;=60,H700-5,IF(AND(H700&gt;=50,H700&lt;60),H700-4,IF(AND(H700&gt;=10,H700&lt;50),H700-3,H700)))))</f>
        <v/>
      </c>
      <c r="K700" s="57" t="n"/>
    </row>
    <row r="701" ht="15" customHeight="1">
      <c r="A701" s="10" t="n"/>
      <c r="B701" s="2" t="n">
        <v>698</v>
      </c>
      <c r="C701" s="3" t="n"/>
      <c r="D701" s="3" t="n"/>
      <c r="E701" s="2" t="n"/>
      <c r="F701" s="5">
        <f>IF(E701="","",E701*1000)</f>
        <v/>
      </c>
      <c r="G701" s="23" t="n"/>
      <c r="H701" s="56">
        <f>IF(I701&lt;&gt;"",I701,IF(G701="","",IF(ROUND(MOD(G701,1),1)&lt;=0.4,INT(G701)-1,INT(G701))))</f>
        <v/>
      </c>
      <c r="I701" s="56" t="n"/>
      <c r="J701" s="57">
        <f>IF(H701="","",IF(LOWER(A701)="gl",H701-2,IF(H701&gt;=60,H701-5,IF(AND(H701&gt;=50,H701&lt;60),H701-4,IF(AND(H701&gt;=10,H701&lt;50),H701-3,H701)))))</f>
        <v/>
      </c>
      <c r="K701" s="57" t="n"/>
    </row>
    <row r="702" ht="15" customHeight="1">
      <c r="A702" s="10" t="n"/>
      <c r="B702" s="2" t="n">
        <v>699</v>
      </c>
      <c r="C702" s="3" t="n"/>
      <c r="D702" s="3" t="n"/>
      <c r="E702" s="2" t="n"/>
      <c r="F702" s="5">
        <f>IF(E702="","",E702*1000)</f>
        <v/>
      </c>
      <c r="G702" s="23" t="n"/>
      <c r="H702" s="56">
        <f>IF(I702&lt;&gt;"",I702,IF(G702="","",IF(ROUND(MOD(G702,1),1)&lt;=0.4,INT(G702)-1,INT(G702))))</f>
        <v/>
      </c>
      <c r="I702" s="56" t="n"/>
      <c r="J702" s="57">
        <f>IF(H702="","",IF(LOWER(A702)="gl",H702-2,IF(H702&gt;=60,H702-5,IF(AND(H702&gt;=50,H702&lt;60),H702-4,IF(AND(H702&gt;=10,H702&lt;50),H702-3,H702)))))</f>
        <v/>
      </c>
      <c r="K702" s="57" t="n"/>
    </row>
    <row r="703" ht="15" customHeight="1">
      <c r="A703" s="10" t="n"/>
      <c r="B703" s="2" t="n">
        <v>700</v>
      </c>
      <c r="C703" s="3" t="n"/>
      <c r="D703" s="3" t="n"/>
      <c r="E703" s="2" t="n"/>
      <c r="F703" s="5">
        <f>IF(E703="","",E703*1000)</f>
        <v/>
      </c>
      <c r="G703" s="23" t="n"/>
      <c r="H703" s="56">
        <f>IF(I703&lt;&gt;"",I703,IF(G703="","",IF(ROUND(MOD(G703,1),1)&lt;=0.4,INT(G703)-1,INT(G703))))</f>
        <v/>
      </c>
      <c r="I703" s="56" t="n"/>
      <c r="J703" s="57">
        <f>IF(H703="","",IF(LOWER(A703)="gl",H703-2,IF(H703&gt;=60,H703-5,IF(AND(H703&gt;=50,H703&lt;60),H703-4,IF(AND(H703&gt;=10,H703&lt;50),H703-3,H703)))))</f>
        <v/>
      </c>
      <c r="K703" s="57" t="n"/>
    </row>
    <row r="704" ht="15" customHeight="1">
      <c r="A704" s="10" t="n"/>
      <c r="B704" s="2" t="n">
        <v>701</v>
      </c>
      <c r="C704" s="3" t="n"/>
      <c r="D704" s="3" t="n"/>
      <c r="E704" s="2" t="n"/>
      <c r="F704" s="5">
        <f>IF(E704="","",E704*1000)</f>
        <v/>
      </c>
      <c r="G704" s="23" t="n"/>
      <c r="H704" s="56">
        <f>IF(I704&lt;&gt;"",I704,IF(G704="","",IF(ROUND(MOD(G704,1),1)&lt;=0.4,INT(G704)-1,INT(G704))))</f>
        <v/>
      </c>
      <c r="I704" s="56" t="n"/>
      <c r="J704" s="57">
        <f>IF(H704="","",IF(LOWER(A704)="gl",H704-2,IF(H704&gt;=60,H704-5,IF(AND(H704&gt;=50,H704&lt;60),H704-4,IF(AND(H704&gt;=10,H704&lt;50),H704-3,H704)))))</f>
        <v/>
      </c>
      <c r="K704" s="57" t="n"/>
    </row>
    <row r="705" ht="15" customHeight="1">
      <c r="A705" s="10" t="n"/>
      <c r="B705" s="2" t="n">
        <v>702</v>
      </c>
      <c r="C705" s="3" t="n"/>
      <c r="D705" s="3" t="n"/>
      <c r="E705" s="2" t="n"/>
      <c r="F705" s="5">
        <f>IF(E705="","",E705*1000)</f>
        <v/>
      </c>
      <c r="G705" s="23" t="n"/>
      <c r="H705" s="56">
        <f>IF(I705&lt;&gt;"",I705,IF(G705="","",IF(ROUND(MOD(G705,1),1)&lt;=0.4,INT(G705)-1,INT(G705))))</f>
        <v/>
      </c>
      <c r="I705" s="56" t="n"/>
      <c r="J705" s="57">
        <f>IF(H705="","",IF(LOWER(A705)="gl",H705-2,IF(H705&gt;=60,H705-5,IF(AND(H705&gt;=50,H705&lt;60),H705-4,IF(AND(H705&gt;=10,H705&lt;50),H705-3,H705)))))</f>
        <v/>
      </c>
      <c r="K705" s="57" t="n"/>
    </row>
    <row r="706" ht="15" customHeight="1">
      <c r="A706" s="10" t="n"/>
      <c r="B706" s="2" t="n">
        <v>703</v>
      </c>
      <c r="C706" s="3" t="n"/>
      <c r="D706" s="3" t="n"/>
      <c r="E706" s="2" t="n"/>
      <c r="F706" s="5">
        <f>IF(E706="","",E706*1000)</f>
        <v/>
      </c>
      <c r="G706" s="23" t="n"/>
      <c r="H706" s="56">
        <f>IF(I706&lt;&gt;"",I706,IF(G706="","",IF(ROUND(MOD(G706,1),1)&lt;=0.4,INT(G706)-1,INT(G706))))</f>
        <v/>
      </c>
      <c r="I706" s="56" t="n"/>
      <c r="J706" s="57">
        <f>IF(H706="","",IF(LOWER(A706)="gl",H706-2,IF(H706&gt;=60,H706-5,IF(AND(H706&gt;=50,H706&lt;60),H706-4,IF(AND(H706&gt;=10,H706&lt;50),H706-3,H706)))))</f>
        <v/>
      </c>
      <c r="K706" s="57" t="n"/>
    </row>
    <row r="707" ht="15" customHeight="1">
      <c r="A707" s="10" t="n"/>
      <c r="B707" s="2" t="n">
        <v>704</v>
      </c>
      <c r="C707" s="3" t="n"/>
      <c r="D707" s="3" t="n"/>
      <c r="E707" s="2" t="n"/>
      <c r="F707" s="5">
        <f>IF(E707="","",E707*1000)</f>
        <v/>
      </c>
      <c r="G707" s="23" t="n"/>
      <c r="H707" s="56">
        <f>IF(I707&lt;&gt;"",I707,IF(G707="","",IF(ROUND(MOD(G707,1),1)&lt;=0.4,INT(G707)-1,INT(G707))))</f>
        <v/>
      </c>
      <c r="I707" s="56" t="n"/>
      <c r="J707" s="57">
        <f>IF(H707="","",IF(LOWER(A707)="gl",H707-2,IF(H707&gt;=60,H707-5,IF(AND(H707&gt;=50,H707&lt;60),H707-4,IF(AND(H707&gt;=10,H707&lt;50),H707-3,H707)))))</f>
        <v/>
      </c>
      <c r="K707" s="57" t="n"/>
    </row>
    <row r="708" ht="15" customHeight="1">
      <c r="A708" s="10" t="n"/>
      <c r="B708" s="2" t="n">
        <v>705</v>
      </c>
      <c r="C708" s="3" t="n"/>
      <c r="D708" s="3" t="n"/>
      <c r="E708" s="2" t="n"/>
      <c r="F708" s="5">
        <f>IF(E708="","",E708*1000)</f>
        <v/>
      </c>
      <c r="G708" s="23" t="n"/>
      <c r="H708" s="56">
        <f>IF(I708&lt;&gt;"",I708,IF(G708="","",IF(ROUND(MOD(G708,1),1)&lt;=0.4,INT(G708)-1,INT(G708))))</f>
        <v/>
      </c>
      <c r="I708" s="56" t="n"/>
      <c r="J708" s="57">
        <f>IF(H708="","",IF(LOWER(A708)="gl",H708-2,IF(H708&gt;=60,H708-5,IF(AND(H708&gt;=50,H708&lt;60),H708-4,IF(AND(H708&gt;=10,H708&lt;50),H708-3,H708)))))</f>
        <v/>
      </c>
      <c r="K708" s="57" t="n"/>
    </row>
    <row r="709" ht="15" customHeight="1">
      <c r="A709" s="10" t="n"/>
      <c r="B709" s="2" t="n">
        <v>706</v>
      </c>
      <c r="C709" s="3" t="n"/>
      <c r="D709" s="3" t="n"/>
      <c r="E709" s="2" t="n"/>
      <c r="F709" s="5">
        <f>IF(E709="","",E709*1000)</f>
        <v/>
      </c>
      <c r="G709" s="23" t="n"/>
      <c r="H709" s="56">
        <f>IF(I709&lt;&gt;"",I709,IF(G709="","",IF(ROUND(MOD(G709,1),1)&lt;=0.4,INT(G709)-1,INT(G709))))</f>
        <v/>
      </c>
      <c r="I709" s="56" t="n"/>
      <c r="J709" s="57">
        <f>IF(H709="","",IF(LOWER(A709)="gl",H709-2,IF(H709&gt;=60,H709-5,IF(AND(H709&gt;=50,H709&lt;60),H709-4,IF(AND(H709&gt;=10,H709&lt;50),H709-3,H709)))))</f>
        <v/>
      </c>
      <c r="K709" s="57" t="n"/>
    </row>
    <row r="710" ht="15" customHeight="1">
      <c r="A710" s="10" t="n"/>
      <c r="B710" s="2" t="n">
        <v>707</v>
      </c>
      <c r="C710" s="3" t="n"/>
      <c r="D710" s="3" t="n"/>
      <c r="E710" s="2" t="n"/>
      <c r="F710" s="5">
        <f>IF(E710="","",E710*1000)</f>
        <v/>
      </c>
      <c r="G710" s="23" t="n"/>
      <c r="H710" s="56">
        <f>IF(I710&lt;&gt;"",I710,IF(G710="","",IF(ROUND(MOD(G710,1),1)&lt;=0.4,INT(G710)-1,INT(G710))))</f>
        <v/>
      </c>
      <c r="I710" s="56" t="n"/>
      <c r="J710" s="57">
        <f>IF(H710="","",IF(LOWER(A710)="gl",H710-2,IF(H710&gt;=60,H710-5,IF(AND(H710&gt;=50,H710&lt;60),H710-4,IF(AND(H710&gt;=10,H710&lt;50),H710-3,H710)))))</f>
        <v/>
      </c>
      <c r="K710" s="57" t="n"/>
    </row>
    <row r="711" ht="15" customHeight="1">
      <c r="A711" s="10" t="n"/>
      <c r="B711" s="2" t="n">
        <v>708</v>
      </c>
      <c r="C711" s="3" t="n"/>
      <c r="D711" s="3" t="n"/>
      <c r="E711" s="2" t="n"/>
      <c r="F711" s="5">
        <f>IF(E711="","",E711*1000)</f>
        <v/>
      </c>
      <c r="G711" s="23" t="n"/>
      <c r="H711" s="56">
        <f>IF(I711&lt;&gt;"",I711,IF(G711="","",IF(ROUND(MOD(G711,1),1)&lt;=0.4,INT(G711)-1,INT(G711))))</f>
        <v/>
      </c>
      <c r="I711" s="56" t="n"/>
      <c r="J711" s="57">
        <f>IF(H711="","",IF(LOWER(A711)="gl",H711-2,IF(H711&gt;=60,H711-5,IF(AND(H711&gt;=50,H711&lt;60),H711-4,IF(AND(H711&gt;=10,H711&lt;50),H711-3,H711)))))</f>
        <v/>
      </c>
      <c r="K711" s="57" t="n"/>
    </row>
    <row r="712" ht="15" customHeight="1">
      <c r="A712" s="10" t="n"/>
      <c r="B712" s="2" t="n">
        <v>709</v>
      </c>
      <c r="C712" s="3" t="n"/>
      <c r="D712" s="3" t="n"/>
      <c r="E712" s="2" t="n"/>
      <c r="F712" s="5">
        <f>IF(E712="","",E712*1000)</f>
        <v/>
      </c>
      <c r="G712" s="23" t="n"/>
      <c r="H712" s="56">
        <f>IF(I712&lt;&gt;"",I712,IF(G712="","",IF(ROUND(MOD(G712,1),1)&lt;=0.4,INT(G712)-1,INT(G712))))</f>
        <v/>
      </c>
      <c r="I712" s="56" t="n"/>
      <c r="J712" s="57">
        <f>IF(H712="","",IF(LOWER(A712)="gl",H712-2,IF(H712&gt;=60,H712-5,IF(AND(H712&gt;=50,H712&lt;60),H712-4,IF(AND(H712&gt;=10,H712&lt;50),H712-3,H712)))))</f>
        <v/>
      </c>
      <c r="K712" s="57" t="n"/>
    </row>
    <row r="713" ht="15" customHeight="1">
      <c r="A713" s="10" t="n"/>
      <c r="B713" s="2" t="n">
        <v>710</v>
      </c>
      <c r="C713" s="3" t="n"/>
      <c r="D713" s="3" t="n"/>
      <c r="E713" s="2" t="n"/>
      <c r="F713" s="5">
        <f>IF(E713="","",E713*1000)</f>
        <v/>
      </c>
      <c r="G713" s="23" t="n"/>
      <c r="H713" s="56">
        <f>IF(I713&lt;&gt;"",I713,IF(G713="","",IF(ROUND(MOD(G713,1),1)&lt;=0.4,INT(G713)-1,INT(G713))))</f>
        <v/>
      </c>
      <c r="I713" s="56" t="n"/>
      <c r="J713" s="57">
        <f>IF(H713="","",IF(LOWER(A713)="gl",H713-2,IF(H713&gt;=60,H713-5,IF(AND(H713&gt;=50,H713&lt;60),H713-4,IF(AND(H713&gt;=10,H713&lt;50),H713-3,H713)))))</f>
        <v/>
      </c>
      <c r="K713" s="57" t="n"/>
    </row>
    <row r="714" ht="15" customHeight="1">
      <c r="A714" s="10" t="n"/>
      <c r="B714" s="2" t="n">
        <v>711</v>
      </c>
      <c r="C714" s="3" t="n"/>
      <c r="D714" s="3" t="n"/>
      <c r="E714" s="2" t="n"/>
      <c r="F714" s="5">
        <f>IF(E714="","",E714*1000)</f>
        <v/>
      </c>
      <c r="G714" s="23" t="n"/>
      <c r="H714" s="56">
        <f>IF(I714&lt;&gt;"",I714,IF(G714="","",IF(ROUND(MOD(G714,1),1)&lt;=0.4,INT(G714)-1,INT(G714))))</f>
        <v/>
      </c>
      <c r="I714" s="56" t="n"/>
      <c r="J714" s="57">
        <f>IF(H714="","",IF(LOWER(A714)="gl",H714-2,IF(H714&gt;=60,H714-5,IF(AND(H714&gt;=50,H714&lt;60),H714-4,IF(AND(H714&gt;=10,H714&lt;50),H714-3,H714)))))</f>
        <v/>
      </c>
      <c r="K714" s="57" t="n"/>
    </row>
    <row r="715" ht="15" customHeight="1">
      <c r="A715" s="10" t="n"/>
      <c r="B715" s="2" t="n">
        <v>712</v>
      </c>
      <c r="C715" s="3" t="n"/>
      <c r="D715" s="3" t="n"/>
      <c r="E715" s="2" t="n"/>
      <c r="F715" s="5">
        <f>IF(E715="","",E715*1000)</f>
        <v/>
      </c>
      <c r="G715" s="23" t="n"/>
      <c r="H715" s="56">
        <f>IF(I715&lt;&gt;"",I715,IF(G715="","",IF(ROUND(MOD(G715,1),1)&lt;=0.4,INT(G715)-1,INT(G715))))</f>
        <v/>
      </c>
      <c r="I715" s="56" t="n"/>
      <c r="J715" s="57">
        <f>IF(H715="","",IF(LOWER(A715)="gl",H715-2,IF(H715&gt;=60,H715-5,IF(AND(H715&gt;=50,H715&lt;60),H715-4,IF(AND(H715&gt;=10,H715&lt;50),H715-3,H715)))))</f>
        <v/>
      </c>
      <c r="K715" s="57" t="n"/>
    </row>
    <row r="716" ht="15" customHeight="1">
      <c r="A716" s="10" t="n"/>
      <c r="B716" s="2" t="n">
        <v>713</v>
      </c>
      <c r="C716" s="3" t="n"/>
      <c r="D716" s="3" t="n"/>
      <c r="E716" s="2" t="n"/>
      <c r="F716" s="5">
        <f>IF(E716="","",E716*1000)</f>
        <v/>
      </c>
      <c r="G716" s="23" t="n"/>
      <c r="H716" s="56">
        <f>IF(I716&lt;&gt;"",I716,IF(G716="","",IF(ROUND(MOD(G716,1),1)&lt;=0.4,INT(G716)-1,INT(G716))))</f>
        <v/>
      </c>
      <c r="I716" s="56" t="n"/>
      <c r="J716" s="57">
        <f>IF(H716="","",IF(LOWER(A716)="gl",H716-2,IF(H716&gt;=60,H716-5,IF(AND(H716&gt;=50,H716&lt;60),H716-4,IF(AND(H716&gt;=10,H716&lt;50),H716-3,H716)))))</f>
        <v/>
      </c>
      <c r="K716" s="57" t="n"/>
    </row>
    <row r="717" ht="15" customHeight="1">
      <c r="A717" s="10" t="n"/>
      <c r="B717" s="2" t="n">
        <v>714</v>
      </c>
      <c r="C717" s="3" t="n"/>
      <c r="D717" s="3" t="n"/>
      <c r="E717" s="2" t="n"/>
      <c r="F717" s="5">
        <f>IF(E717="","",E717*1000)</f>
        <v/>
      </c>
      <c r="G717" s="23" t="n"/>
      <c r="H717" s="56">
        <f>IF(I717&lt;&gt;"",I717,IF(G717="","",IF(ROUND(MOD(G717,1),1)&lt;=0.4,INT(G717)-1,INT(G717))))</f>
        <v/>
      </c>
      <c r="I717" s="56" t="n"/>
      <c r="J717" s="57">
        <f>IF(H717="","",IF(LOWER(A717)="gl",H717-2,IF(H717&gt;=60,H717-5,IF(AND(H717&gt;=50,H717&lt;60),H717-4,IF(AND(H717&gt;=10,H717&lt;50),H717-3,H717)))))</f>
        <v/>
      </c>
      <c r="K717" s="57" t="n"/>
    </row>
    <row r="718" ht="15" customHeight="1">
      <c r="A718" s="10" t="n"/>
      <c r="B718" s="2" t="n">
        <v>715</v>
      </c>
      <c r="C718" s="3" t="n"/>
      <c r="D718" s="3" t="n"/>
      <c r="E718" s="2" t="n"/>
      <c r="F718" s="5">
        <f>IF(E718="","",E718*1000)</f>
        <v/>
      </c>
      <c r="G718" s="23" t="n"/>
      <c r="H718" s="56">
        <f>IF(I718&lt;&gt;"",I718,IF(G718="","",IF(ROUND(MOD(G718,1),1)&lt;=0.4,INT(G718)-1,INT(G718))))</f>
        <v/>
      </c>
      <c r="I718" s="56" t="n"/>
      <c r="J718" s="57">
        <f>IF(H718="","",IF(LOWER(A718)="gl",H718-2,IF(H718&gt;=60,H718-5,IF(AND(H718&gt;=50,H718&lt;60),H718-4,IF(AND(H718&gt;=10,H718&lt;50),H718-3,H718)))))</f>
        <v/>
      </c>
      <c r="K718" s="57" t="n"/>
    </row>
    <row r="719" ht="15" customHeight="1">
      <c r="A719" s="10" t="n"/>
      <c r="B719" s="2" t="n">
        <v>716</v>
      </c>
      <c r="C719" s="3" t="n"/>
      <c r="D719" s="3" t="n"/>
      <c r="E719" s="2" t="n"/>
      <c r="F719" s="5">
        <f>IF(E719="","",E719*1000)</f>
        <v/>
      </c>
      <c r="G719" s="23" t="n"/>
      <c r="H719" s="56">
        <f>IF(I719&lt;&gt;"",I719,IF(G719="","",IF(ROUND(MOD(G719,1),1)&lt;=0.4,INT(G719)-1,INT(G719))))</f>
        <v/>
      </c>
      <c r="I719" s="56" t="n"/>
      <c r="J719" s="57">
        <f>IF(H719="","",IF(LOWER(A719)="gl",H719-2,IF(H719&gt;=60,H719-5,IF(AND(H719&gt;=50,H719&lt;60),H719-4,IF(AND(H719&gt;=10,H719&lt;50),H719-3,H719)))))</f>
        <v/>
      </c>
      <c r="K719" s="57" t="n"/>
    </row>
    <row r="720" ht="15" customHeight="1">
      <c r="A720" s="10" t="n"/>
      <c r="B720" s="2" t="n">
        <v>717</v>
      </c>
      <c r="C720" s="3" t="n"/>
      <c r="D720" s="3" t="n"/>
      <c r="E720" s="2" t="n"/>
      <c r="F720" s="5">
        <f>IF(E720="","",E720*1000)</f>
        <v/>
      </c>
      <c r="G720" s="23" t="n"/>
      <c r="H720" s="56">
        <f>IF(I720&lt;&gt;"",I720,IF(G720="","",IF(ROUND(MOD(G720,1),1)&lt;=0.4,INT(G720)-1,INT(G720))))</f>
        <v/>
      </c>
      <c r="I720" s="56" t="n"/>
      <c r="J720" s="57">
        <f>IF(H720="","",IF(LOWER(A720)="gl",H720-2,IF(H720&gt;=60,H720-5,IF(AND(H720&gt;=50,H720&lt;60),H720-4,IF(AND(H720&gt;=10,H720&lt;50),H720-3,H720)))))</f>
        <v/>
      </c>
      <c r="K720" s="57" t="n"/>
    </row>
    <row r="721" ht="15" customHeight="1">
      <c r="A721" s="10" t="n"/>
      <c r="B721" s="2" t="n">
        <v>718</v>
      </c>
      <c r="C721" s="3" t="n"/>
      <c r="D721" s="3" t="n"/>
      <c r="E721" s="2" t="n"/>
      <c r="F721" s="5">
        <f>IF(E721="","",E721*1000)</f>
        <v/>
      </c>
      <c r="G721" s="23" t="n"/>
      <c r="H721" s="56">
        <f>IF(I721&lt;&gt;"",I721,IF(G721="","",IF(ROUND(MOD(G721,1),1)&lt;=0.4,INT(G721)-1,INT(G721))))</f>
        <v/>
      </c>
      <c r="I721" s="56" t="n"/>
      <c r="J721" s="57">
        <f>IF(H721="","",IF(LOWER(A721)="gl",H721-2,IF(H721&gt;=60,H721-5,IF(AND(H721&gt;=50,H721&lt;60),H721-4,IF(AND(H721&gt;=10,H721&lt;50),H721-3,H721)))))</f>
        <v/>
      </c>
      <c r="K721" s="57" t="n"/>
    </row>
    <row r="722" ht="15" customHeight="1">
      <c r="A722" s="10" t="n"/>
      <c r="B722" s="2" t="n">
        <v>719</v>
      </c>
      <c r="C722" s="3" t="n"/>
      <c r="D722" s="3" t="n"/>
      <c r="E722" s="2" t="n"/>
      <c r="F722" s="5">
        <f>IF(E722="","",E722*1000)</f>
        <v/>
      </c>
      <c r="G722" s="23" t="n"/>
      <c r="H722" s="56">
        <f>IF(I722&lt;&gt;"",I722,IF(G722="","",IF(ROUND(MOD(G722,1),1)&lt;=0.4,INT(G722)-1,INT(G722))))</f>
        <v/>
      </c>
      <c r="I722" s="56" t="n"/>
      <c r="J722" s="57">
        <f>IF(H722="","",IF(LOWER(A722)="gl",H722-2,IF(H722&gt;=60,H722-5,IF(AND(H722&gt;=50,H722&lt;60),H722-4,IF(AND(H722&gt;=10,H722&lt;50),H722-3,H722)))))</f>
        <v/>
      </c>
      <c r="K722" s="57" t="n"/>
    </row>
    <row r="723" ht="15" customHeight="1">
      <c r="A723" s="10" t="n"/>
      <c r="B723" s="2" t="n">
        <v>720</v>
      </c>
      <c r="C723" s="3" t="n"/>
      <c r="D723" s="3" t="n"/>
      <c r="E723" s="2" t="n"/>
      <c r="F723" s="5">
        <f>IF(E723="","",E723*1000)</f>
        <v/>
      </c>
      <c r="G723" s="23" t="n"/>
      <c r="H723" s="56">
        <f>IF(I723&lt;&gt;"",I723,IF(G723="","",IF(ROUND(MOD(G723,1),1)&lt;=0.4,INT(G723)-1,INT(G723))))</f>
        <v/>
      </c>
      <c r="I723" s="56" t="n"/>
      <c r="J723" s="57">
        <f>IF(H723="","",IF(LOWER(A723)="gl",H723-2,IF(H723&gt;=60,H723-5,IF(AND(H723&gt;=50,H723&lt;60),H723-4,IF(AND(H723&gt;=10,H723&lt;50),H723-3,H723)))))</f>
        <v/>
      </c>
      <c r="K723" s="57" t="n"/>
    </row>
    <row r="724" ht="15" customHeight="1">
      <c r="A724" s="10" t="n"/>
      <c r="B724" s="2" t="n">
        <v>721</v>
      </c>
      <c r="C724" s="3" t="n"/>
      <c r="D724" s="3" t="n"/>
      <c r="E724" s="2" t="n"/>
      <c r="F724" s="5">
        <f>IF(E724="","",E724*1000)</f>
        <v/>
      </c>
      <c r="G724" s="23" t="n"/>
      <c r="H724" s="56">
        <f>IF(I724&lt;&gt;"",I724,IF(G724="","",IF(ROUND(MOD(G724,1),1)&lt;=0.4,INT(G724)-1,INT(G724))))</f>
        <v/>
      </c>
      <c r="I724" s="56" t="n"/>
      <c r="J724" s="57">
        <f>IF(H724="","",IF(LOWER(A724)="gl",H724-2,IF(H724&gt;=60,H724-5,IF(AND(H724&gt;=50,H724&lt;60),H724-4,IF(AND(H724&gt;=10,H724&lt;50),H724-3,H724)))))</f>
        <v/>
      </c>
      <c r="K724" s="57" t="n"/>
    </row>
    <row r="725" ht="15" customHeight="1">
      <c r="A725" s="10" t="n"/>
      <c r="B725" s="2" t="n">
        <v>722</v>
      </c>
      <c r="C725" s="3" t="n"/>
      <c r="D725" s="3" t="n"/>
      <c r="E725" s="2" t="n"/>
      <c r="F725" s="5">
        <f>IF(E725="","",E725*1000)</f>
        <v/>
      </c>
      <c r="G725" s="23" t="n"/>
      <c r="H725" s="56">
        <f>IF(I725&lt;&gt;"",I725,IF(G725="","",IF(ROUND(MOD(G725,1),1)&lt;=0.4,INT(G725)-1,INT(G725))))</f>
        <v/>
      </c>
      <c r="I725" s="56" t="n"/>
      <c r="J725" s="57">
        <f>IF(H725="","",IF(LOWER(A725)="gl",H725-2,IF(H725&gt;=60,H725-5,IF(AND(H725&gt;=50,H725&lt;60),H725-4,IF(AND(H725&gt;=10,H725&lt;50),H725-3,H725)))))</f>
        <v/>
      </c>
      <c r="K725" s="57" t="n"/>
    </row>
    <row r="726" ht="15" customHeight="1">
      <c r="A726" s="10" t="n"/>
      <c r="B726" s="2" t="n">
        <v>723</v>
      </c>
      <c r="C726" s="3" t="n"/>
      <c r="D726" s="3" t="n"/>
      <c r="E726" s="2" t="n"/>
      <c r="F726" s="5">
        <f>IF(E726="","",E726*1000)</f>
        <v/>
      </c>
      <c r="G726" s="23" t="n"/>
      <c r="H726" s="56">
        <f>IF(I726&lt;&gt;"",I726,IF(G726="","",IF(ROUND(MOD(G726,1),1)&lt;=0.4,INT(G726)-1,INT(G726))))</f>
        <v/>
      </c>
      <c r="I726" s="56" t="n"/>
      <c r="J726" s="57">
        <f>IF(H726="","",IF(LOWER(A726)="gl",H726-2,IF(H726&gt;=60,H726-5,IF(AND(H726&gt;=50,H726&lt;60),H726-4,IF(AND(H726&gt;=10,H726&lt;50),H726-3,H726)))))</f>
        <v/>
      </c>
      <c r="K726" s="57" t="n"/>
    </row>
    <row r="727" ht="15" customHeight="1">
      <c r="A727" s="10" t="n"/>
      <c r="B727" s="2" t="n">
        <v>724</v>
      </c>
      <c r="C727" s="3" t="n"/>
      <c r="D727" s="3" t="n"/>
      <c r="E727" s="2" t="n"/>
      <c r="F727" s="5">
        <f>IF(E727="","",E727*1000)</f>
        <v/>
      </c>
      <c r="G727" s="23" t="n"/>
      <c r="H727" s="56">
        <f>IF(I727&lt;&gt;"",I727,IF(G727="","",IF(ROUND(MOD(G727,1),1)&lt;=0.4,INT(G727)-1,INT(G727))))</f>
        <v/>
      </c>
      <c r="I727" s="56" t="n"/>
      <c r="J727" s="57">
        <f>IF(H727="","",IF(LOWER(A727)="gl",H727-2,IF(H727&gt;=60,H727-5,IF(AND(H727&gt;=50,H727&lt;60),H727-4,IF(AND(H727&gt;=10,H727&lt;50),H727-3,H727)))))</f>
        <v/>
      </c>
      <c r="K727" s="57" t="n"/>
    </row>
    <row r="728" ht="15" customHeight="1">
      <c r="A728" s="10" t="n"/>
      <c r="B728" s="2" t="n">
        <v>725</v>
      </c>
      <c r="C728" s="3" t="n"/>
      <c r="D728" s="3" t="n"/>
      <c r="E728" s="2" t="n"/>
      <c r="F728" s="5">
        <f>IF(E728="","",E728*1000)</f>
        <v/>
      </c>
      <c r="G728" s="23" t="n"/>
      <c r="H728" s="56">
        <f>IF(I728&lt;&gt;"",I728,IF(G728="","",IF(ROUND(MOD(G728,1),1)&lt;=0.4,INT(G728)-1,INT(G728))))</f>
        <v/>
      </c>
      <c r="I728" s="56" t="n"/>
      <c r="J728" s="57">
        <f>IF(H728="","",IF(LOWER(A728)="gl",H728-2,IF(H728&gt;=60,H728-5,IF(AND(H728&gt;=50,H728&lt;60),H728-4,IF(AND(H728&gt;=10,H728&lt;50),H728-3,H728)))))</f>
        <v/>
      </c>
      <c r="K728" s="57" t="n"/>
    </row>
    <row r="729" ht="15" customHeight="1">
      <c r="A729" s="10" t="n"/>
      <c r="B729" s="2" t="n">
        <v>726</v>
      </c>
      <c r="C729" s="3" t="n"/>
      <c r="D729" s="3" t="n"/>
      <c r="E729" s="2" t="n"/>
      <c r="F729" s="5">
        <f>IF(E729="","",E729*1000)</f>
        <v/>
      </c>
      <c r="G729" s="23" t="n"/>
      <c r="H729" s="56">
        <f>IF(I729&lt;&gt;"",I729,IF(G729="","",IF(ROUND(MOD(G729,1),1)&lt;=0.4,INT(G729)-1,INT(G729))))</f>
        <v/>
      </c>
      <c r="I729" s="56" t="n"/>
      <c r="J729" s="57">
        <f>IF(H729="","",IF(LOWER(A729)="gl",H729-2,IF(H729&gt;=60,H729-5,IF(AND(H729&gt;=50,H729&lt;60),H729-4,IF(AND(H729&gt;=10,H729&lt;50),H729-3,H729)))))</f>
        <v/>
      </c>
      <c r="K729" s="57" t="n"/>
    </row>
    <row r="730" ht="15" customHeight="1">
      <c r="A730" s="10" t="n"/>
      <c r="B730" s="2" t="n">
        <v>727</v>
      </c>
      <c r="C730" s="3" t="n"/>
      <c r="D730" s="3" t="n"/>
      <c r="E730" s="2" t="n"/>
      <c r="F730" s="5">
        <f>IF(E730="","",E730*1000)</f>
        <v/>
      </c>
      <c r="G730" s="23" t="n"/>
      <c r="H730" s="56">
        <f>IF(I730&lt;&gt;"",I730,IF(G730="","",IF(ROUND(MOD(G730,1),1)&lt;=0.4,INT(G730)-1,INT(G730))))</f>
        <v/>
      </c>
      <c r="I730" s="56" t="n"/>
      <c r="J730" s="57">
        <f>IF(H730="","",IF(LOWER(A730)="gl",H730-2,IF(H730&gt;=60,H730-5,IF(AND(H730&gt;=50,H730&lt;60),H730-4,IF(AND(H730&gt;=10,H730&lt;50),H730-3,H730)))))</f>
        <v/>
      </c>
      <c r="K730" s="57" t="n"/>
    </row>
    <row r="731" ht="15" customHeight="1">
      <c r="A731" s="10" t="n"/>
      <c r="B731" s="2" t="n">
        <v>728</v>
      </c>
      <c r="C731" s="3" t="n"/>
      <c r="D731" s="3" t="n"/>
      <c r="E731" s="2" t="n"/>
      <c r="F731" s="5">
        <f>IF(E731="","",E731*1000)</f>
        <v/>
      </c>
      <c r="G731" s="23" t="n"/>
      <c r="H731" s="56">
        <f>IF(I731&lt;&gt;"",I731,IF(G731="","",IF(ROUND(MOD(G731,1),1)&lt;=0.4,INT(G731)-1,INT(G731))))</f>
        <v/>
      </c>
      <c r="I731" s="56" t="n"/>
      <c r="J731" s="57">
        <f>IF(H731="","",IF(LOWER(A731)="gl",H731-2,IF(H731&gt;=60,H731-5,IF(AND(H731&gt;=50,H731&lt;60),H731-4,IF(AND(H731&gt;=10,H731&lt;50),H731-3,H731)))))</f>
        <v/>
      </c>
      <c r="K731" s="57" t="n"/>
    </row>
    <row r="732" ht="15" customHeight="1">
      <c r="A732" s="10" t="n"/>
      <c r="B732" s="2" t="n">
        <v>729</v>
      </c>
      <c r="C732" s="3" t="n"/>
      <c r="D732" s="3" t="n"/>
      <c r="E732" s="2" t="n"/>
      <c r="F732" s="5">
        <f>IF(E732="","",E732*1000)</f>
        <v/>
      </c>
      <c r="G732" s="23" t="n"/>
      <c r="H732" s="56">
        <f>IF(I732&lt;&gt;"",I732,IF(G732="","",IF(ROUND(MOD(G732,1),1)&lt;=0.4,INT(G732)-1,INT(G732))))</f>
        <v/>
      </c>
      <c r="I732" s="56" t="n"/>
      <c r="J732" s="57">
        <f>IF(H732="","",IF(LOWER(A732)="gl",H732-2,IF(H732&gt;=60,H732-5,IF(AND(H732&gt;=50,H732&lt;60),H732-4,IF(AND(H732&gt;=10,H732&lt;50),H732-3,H732)))))</f>
        <v/>
      </c>
      <c r="K732" s="57" t="n"/>
    </row>
    <row r="733" ht="15" customHeight="1">
      <c r="A733" s="10" t="n"/>
      <c r="B733" s="2" t="n">
        <v>730</v>
      </c>
      <c r="C733" s="3" t="n"/>
      <c r="D733" s="3" t="n"/>
      <c r="E733" s="2" t="n"/>
      <c r="F733" s="5">
        <f>IF(E733="","",E733*1000)</f>
        <v/>
      </c>
      <c r="G733" s="23" t="n"/>
      <c r="H733" s="56">
        <f>IF(I733&lt;&gt;"",I733,IF(G733="","",IF(ROUND(MOD(G733,1),1)&lt;=0.4,INT(G733)-1,INT(G733))))</f>
        <v/>
      </c>
      <c r="I733" s="56" t="n"/>
      <c r="J733" s="57">
        <f>IF(H733="","",IF(LOWER(A733)="gl",H733-2,IF(H733&gt;=60,H733-5,IF(AND(H733&gt;=50,H733&lt;60),H733-4,IF(AND(H733&gt;=10,H733&lt;50),H733-3,H733)))))</f>
        <v/>
      </c>
      <c r="K733" s="57" t="n"/>
    </row>
    <row r="734" ht="15" customHeight="1">
      <c r="A734" s="10" t="n"/>
      <c r="B734" s="2" t="n">
        <v>731</v>
      </c>
      <c r="C734" s="3" t="n"/>
      <c r="D734" s="3" t="n"/>
      <c r="E734" s="2" t="n"/>
      <c r="F734" s="5">
        <f>IF(E734="","",E734*1000)</f>
        <v/>
      </c>
      <c r="G734" s="23" t="n"/>
      <c r="H734" s="56">
        <f>IF(I734&lt;&gt;"",I734,IF(G734="","",IF(ROUND(MOD(G734,1),1)&lt;=0.4,INT(G734)-1,INT(G734))))</f>
        <v/>
      </c>
      <c r="I734" s="56" t="n"/>
      <c r="J734" s="57">
        <f>IF(H734="","",IF(LOWER(A734)="gl",H734-2,IF(H734&gt;=60,H734-5,IF(AND(H734&gt;=50,H734&lt;60),H734-4,IF(AND(H734&gt;=10,H734&lt;50),H734-3,H734)))))</f>
        <v/>
      </c>
      <c r="K734" s="57" t="n"/>
    </row>
    <row r="735" ht="15" customHeight="1">
      <c r="A735" s="10" t="n"/>
      <c r="B735" s="2" t="n">
        <v>732</v>
      </c>
      <c r="C735" s="3" t="n"/>
      <c r="D735" s="3" t="n"/>
      <c r="E735" s="2" t="n"/>
      <c r="F735" s="5">
        <f>IF(E735="","",E735*1000)</f>
        <v/>
      </c>
      <c r="G735" s="23" t="n"/>
      <c r="H735" s="56">
        <f>IF(I735&lt;&gt;"",I735,IF(G735="","",IF(ROUND(MOD(G735,1),1)&lt;=0.4,INT(G735)-1,INT(G735))))</f>
        <v/>
      </c>
      <c r="I735" s="56" t="n"/>
      <c r="J735" s="57">
        <f>IF(H735="","",IF(LOWER(A735)="gl",H735-2,IF(H735&gt;=60,H735-5,IF(AND(H735&gt;=50,H735&lt;60),H735-4,IF(AND(H735&gt;=10,H735&lt;50),H735-3,H735)))))</f>
        <v/>
      </c>
      <c r="K735" s="57" t="n"/>
    </row>
    <row r="736" ht="15" customHeight="1">
      <c r="A736" s="10" t="n"/>
      <c r="B736" s="2" t="n">
        <v>733</v>
      </c>
      <c r="C736" s="3" t="n"/>
      <c r="D736" s="3" t="n"/>
      <c r="E736" s="2" t="n"/>
      <c r="F736" s="5">
        <f>IF(E736="","",E736*1000)</f>
        <v/>
      </c>
      <c r="G736" s="23" t="n"/>
      <c r="H736" s="56">
        <f>IF(I736&lt;&gt;"",I736,IF(G736="","",IF(ROUND(MOD(G736,1),1)&lt;=0.4,INT(G736)-1,INT(G736))))</f>
        <v/>
      </c>
      <c r="I736" s="56" t="n"/>
      <c r="J736" s="57">
        <f>IF(H736="","",IF(LOWER(A736)="gl",H736-2,IF(H736&gt;=60,H736-5,IF(AND(H736&gt;=50,H736&lt;60),H736-4,IF(AND(H736&gt;=10,H736&lt;50),H736-3,H736)))))</f>
        <v/>
      </c>
      <c r="K736" s="57" t="n"/>
    </row>
    <row r="737" ht="15" customHeight="1">
      <c r="A737" s="10" t="n"/>
      <c r="B737" s="2" t="n">
        <v>734</v>
      </c>
      <c r="C737" s="3" t="n"/>
      <c r="D737" s="3" t="n"/>
      <c r="E737" s="2" t="n"/>
      <c r="F737" s="5">
        <f>IF(E737="","",E737*1000)</f>
        <v/>
      </c>
      <c r="G737" s="23" t="n"/>
      <c r="H737" s="56">
        <f>IF(I737&lt;&gt;"",I737,IF(G737="","",IF(ROUND(MOD(G737,1),1)&lt;=0.4,INT(G737)-1,INT(G737))))</f>
        <v/>
      </c>
      <c r="I737" s="56" t="n"/>
      <c r="J737" s="57">
        <f>IF(H737="","",IF(LOWER(A737)="gl",H737-2,IF(H737&gt;=60,H737-5,IF(AND(H737&gt;=50,H737&lt;60),H737-4,IF(AND(H737&gt;=10,H737&lt;50),H737-3,H737)))))</f>
        <v/>
      </c>
      <c r="K737" s="57" t="n"/>
    </row>
    <row r="738" ht="15" customHeight="1">
      <c r="A738" s="10" t="n"/>
      <c r="B738" s="2" t="n">
        <v>735</v>
      </c>
      <c r="C738" s="3" t="n"/>
      <c r="D738" s="3" t="n"/>
      <c r="E738" s="2" t="n"/>
      <c r="F738" s="5">
        <f>IF(E738="","",E738*1000)</f>
        <v/>
      </c>
      <c r="G738" s="23" t="n"/>
      <c r="H738" s="56">
        <f>IF(I738&lt;&gt;"",I738,IF(G738="","",IF(ROUND(MOD(G738,1),1)&lt;=0.4,INT(G738)-1,INT(G738))))</f>
        <v/>
      </c>
      <c r="I738" s="56" t="n"/>
      <c r="J738" s="57">
        <f>IF(H738="","",IF(LOWER(A738)="gl",H738-2,IF(H738&gt;=60,H738-5,IF(AND(H738&gt;=50,H738&lt;60),H738-4,IF(AND(H738&gt;=10,H738&lt;50),H738-3,H738)))))</f>
        <v/>
      </c>
      <c r="K738" s="57" t="n"/>
    </row>
    <row r="739" ht="15" customHeight="1">
      <c r="A739" s="10" t="n"/>
      <c r="B739" s="2" t="n">
        <v>736</v>
      </c>
      <c r="C739" s="3" t="n"/>
      <c r="D739" s="3" t="n"/>
      <c r="E739" s="2" t="n"/>
      <c r="F739" s="5">
        <f>IF(E739="","",E739*1000)</f>
        <v/>
      </c>
      <c r="G739" s="23" t="n"/>
      <c r="H739" s="56">
        <f>IF(I739&lt;&gt;"",I739,IF(G739="","",IF(ROUND(MOD(G739,1),1)&lt;=0.4,INT(G739)-1,INT(G739))))</f>
        <v/>
      </c>
      <c r="I739" s="56" t="n"/>
      <c r="J739" s="57">
        <f>IF(H739="","",IF(LOWER(A739)="gl",H739-2,IF(H739&gt;=60,H739-5,IF(AND(H739&gt;=50,H739&lt;60),H739-4,IF(AND(H739&gt;=10,H739&lt;50),H739-3,H739)))))</f>
        <v/>
      </c>
      <c r="K739" s="57" t="n"/>
    </row>
    <row r="740" ht="15" customHeight="1">
      <c r="A740" s="10" t="n"/>
      <c r="B740" s="2" t="n">
        <v>737</v>
      </c>
      <c r="C740" s="3" t="n"/>
      <c r="D740" s="3" t="n"/>
      <c r="E740" s="2" t="n"/>
      <c r="F740" s="5">
        <f>IF(E740="","",E740*1000)</f>
        <v/>
      </c>
      <c r="G740" s="23" t="n"/>
      <c r="H740" s="56">
        <f>IF(I740&lt;&gt;"",I740,IF(G740="","",IF(ROUND(MOD(G740,1),1)&lt;=0.4,INT(G740)-1,INT(G740))))</f>
        <v/>
      </c>
      <c r="I740" s="56" t="n"/>
      <c r="J740" s="57">
        <f>IF(H740="","",IF(LOWER(A740)="gl",H740-2,IF(H740&gt;=60,H740-5,IF(AND(H740&gt;=50,H740&lt;60),H740-4,IF(AND(H740&gt;=10,H740&lt;50),H740-3,H740)))))</f>
        <v/>
      </c>
      <c r="K740" s="57" t="n"/>
    </row>
    <row r="741" ht="15" customHeight="1">
      <c r="A741" s="10" t="n"/>
      <c r="B741" s="2" t="n">
        <v>738</v>
      </c>
      <c r="C741" s="3" t="n"/>
      <c r="D741" s="3" t="n"/>
      <c r="E741" s="2" t="n"/>
      <c r="F741" s="5">
        <f>IF(E741="","",E741*1000)</f>
        <v/>
      </c>
      <c r="G741" s="23" t="n"/>
      <c r="H741" s="56">
        <f>IF(I741&lt;&gt;"",I741,IF(G741="","",IF(ROUND(MOD(G741,1),1)&lt;=0.4,INT(G741)-1,INT(G741))))</f>
        <v/>
      </c>
      <c r="I741" s="56" t="n"/>
      <c r="J741" s="57">
        <f>IF(H741="","",IF(LOWER(A741)="gl",H741-2,IF(H741&gt;=60,H741-5,IF(AND(H741&gt;=50,H741&lt;60),H741-4,IF(AND(H741&gt;=10,H741&lt;50),H741-3,H741)))))</f>
        <v/>
      </c>
      <c r="K741" s="57" t="n"/>
    </row>
    <row r="742" ht="15" customHeight="1">
      <c r="A742" s="10" t="n"/>
      <c r="B742" s="2" t="n">
        <v>739</v>
      </c>
      <c r="C742" s="3" t="n"/>
      <c r="D742" s="3" t="n"/>
      <c r="E742" s="2" t="n"/>
      <c r="F742" s="5">
        <f>IF(E742="","",E742*1000)</f>
        <v/>
      </c>
      <c r="G742" s="23" t="n"/>
      <c r="H742" s="56">
        <f>IF(I742&lt;&gt;"",I742,IF(G742="","",IF(ROUND(MOD(G742,1),1)&lt;=0.4,INT(G742)-1,INT(G742))))</f>
        <v/>
      </c>
      <c r="I742" s="56" t="n"/>
      <c r="J742" s="57">
        <f>IF(H742="","",IF(LOWER(A742)="gl",H742-2,IF(H742&gt;=60,H742-5,IF(AND(H742&gt;=50,H742&lt;60),H742-4,IF(AND(H742&gt;=10,H742&lt;50),H742-3,H742)))))</f>
        <v/>
      </c>
      <c r="K742" s="57" t="n"/>
    </row>
    <row r="743" ht="15" customHeight="1">
      <c r="A743" s="10" t="n"/>
      <c r="B743" s="2" t="n">
        <v>740</v>
      </c>
      <c r="C743" s="3" t="n"/>
      <c r="D743" s="3" t="n"/>
      <c r="E743" s="2" t="n"/>
      <c r="F743" s="5">
        <f>IF(E743="","",E743*1000)</f>
        <v/>
      </c>
      <c r="G743" s="23" t="n"/>
      <c r="H743" s="56">
        <f>IF(I743&lt;&gt;"",I743,IF(G743="","",IF(ROUND(MOD(G743,1),1)&lt;=0.4,INT(G743)-1,INT(G743))))</f>
        <v/>
      </c>
      <c r="I743" s="56" t="n"/>
      <c r="J743" s="57">
        <f>IF(H743="","",IF(LOWER(A743)="gl",H743-2,IF(H743&gt;=60,H743-5,IF(AND(H743&gt;=50,H743&lt;60),H743-4,IF(AND(H743&gt;=10,H743&lt;50),H743-3,H743)))))</f>
        <v/>
      </c>
      <c r="K743" s="57" t="n"/>
    </row>
    <row r="744" ht="15" customHeight="1">
      <c r="A744" s="10" t="n"/>
      <c r="B744" s="2" t="n">
        <v>741</v>
      </c>
      <c r="C744" s="3" t="n"/>
      <c r="D744" s="3" t="n"/>
      <c r="E744" s="2" t="n"/>
      <c r="F744" s="5">
        <f>IF(E744="","",E744*1000)</f>
        <v/>
      </c>
      <c r="G744" s="23" t="n"/>
      <c r="H744" s="56">
        <f>IF(I744&lt;&gt;"",I744,IF(G744="","",IF(ROUND(MOD(G744,1),1)&lt;=0.4,INT(G744)-1,INT(G744))))</f>
        <v/>
      </c>
      <c r="I744" s="56" t="n"/>
      <c r="J744" s="57">
        <f>IF(H744="","",IF(LOWER(A744)="gl",H744-2,IF(H744&gt;=60,H744-5,IF(AND(H744&gt;=50,H744&lt;60),H744-4,IF(AND(H744&gt;=10,H744&lt;50),H744-3,H744)))))</f>
        <v/>
      </c>
      <c r="K744" s="57" t="n"/>
    </row>
    <row r="745" ht="15" customHeight="1">
      <c r="A745" s="10" t="n"/>
      <c r="B745" s="2" t="n">
        <v>742</v>
      </c>
      <c r="C745" s="3" t="n"/>
      <c r="D745" s="3" t="n"/>
      <c r="E745" s="2" t="n"/>
      <c r="F745" s="5">
        <f>IF(E745="","",E745*1000)</f>
        <v/>
      </c>
      <c r="G745" s="23" t="n"/>
      <c r="H745" s="56">
        <f>IF(I745&lt;&gt;"",I745,IF(G745="","",IF(ROUND(MOD(G745,1),1)&lt;=0.4,INT(G745)-1,INT(G745))))</f>
        <v/>
      </c>
      <c r="I745" s="56" t="n"/>
      <c r="J745" s="57">
        <f>IF(H745="","",IF(LOWER(A745)="gl",H745-2,IF(H745&gt;=60,H745-5,IF(AND(H745&gt;=50,H745&lt;60),H745-4,IF(AND(H745&gt;=10,H745&lt;50),H745-3,H745)))))</f>
        <v/>
      </c>
      <c r="K745" s="57" t="n"/>
    </row>
    <row r="746" ht="15" customHeight="1">
      <c r="A746" s="10" t="n"/>
      <c r="B746" s="2" t="n">
        <v>743</v>
      </c>
      <c r="C746" s="3" t="n"/>
      <c r="D746" s="3" t="n"/>
      <c r="E746" s="2" t="n"/>
      <c r="F746" s="5">
        <f>IF(E746="","",E746*1000)</f>
        <v/>
      </c>
      <c r="G746" s="23" t="n"/>
      <c r="H746" s="56">
        <f>IF(I746&lt;&gt;"",I746,IF(G746="","",IF(ROUND(MOD(G746,1),1)&lt;=0.4,INT(G746)-1,INT(G746))))</f>
        <v/>
      </c>
      <c r="I746" s="56" t="n"/>
      <c r="J746" s="57">
        <f>IF(H746="","",IF(LOWER(A746)="gl",H746-2,IF(H746&gt;=60,H746-5,IF(AND(H746&gt;=50,H746&lt;60),H746-4,IF(AND(H746&gt;=10,H746&lt;50),H746-3,H746)))))</f>
        <v/>
      </c>
      <c r="K746" s="57" t="n"/>
    </row>
    <row r="747" ht="15" customHeight="1">
      <c r="A747" s="10" t="n"/>
      <c r="B747" s="2" t="n">
        <v>744</v>
      </c>
      <c r="C747" s="3" t="n"/>
      <c r="D747" s="3" t="n"/>
      <c r="E747" s="2" t="n"/>
      <c r="F747" s="5">
        <f>IF(E747="","",E747*1000)</f>
        <v/>
      </c>
      <c r="G747" s="23" t="n"/>
      <c r="H747" s="56">
        <f>IF(I747&lt;&gt;"",I747,IF(G747="","",IF(ROUND(MOD(G747,1),1)&lt;=0.4,INT(G747)-1,INT(G747))))</f>
        <v/>
      </c>
      <c r="I747" s="56" t="n"/>
      <c r="J747" s="57">
        <f>IF(H747="","",IF(LOWER(A747)="gl",H747-2,IF(H747&gt;=60,H747-5,IF(AND(H747&gt;=50,H747&lt;60),H747-4,IF(AND(H747&gt;=10,H747&lt;50),H747-3,H747)))))</f>
        <v/>
      </c>
      <c r="K747" s="57" t="n"/>
    </row>
    <row r="748" ht="15" customHeight="1">
      <c r="A748" s="10" t="n"/>
      <c r="B748" s="2" t="n">
        <v>745</v>
      </c>
      <c r="C748" s="3" t="n"/>
      <c r="D748" s="3" t="n"/>
      <c r="E748" s="2" t="n"/>
      <c r="F748" s="5">
        <f>IF(E748="","",E748*1000)</f>
        <v/>
      </c>
      <c r="G748" s="23" t="n"/>
      <c r="H748" s="56">
        <f>IF(I748&lt;&gt;"",I748,IF(G748="","",IF(ROUND(MOD(G748,1),1)&lt;=0.4,INT(G748)-1,INT(G748))))</f>
        <v/>
      </c>
      <c r="I748" s="56" t="n"/>
      <c r="J748" s="57">
        <f>IF(H748="","",IF(LOWER(A748)="gl",H748-2,IF(H748&gt;=60,H748-5,IF(AND(H748&gt;=50,H748&lt;60),H748-4,IF(AND(H748&gt;=10,H748&lt;50),H748-3,H748)))))</f>
        <v/>
      </c>
      <c r="K748" s="57" t="n"/>
    </row>
    <row r="749" ht="15" customHeight="1">
      <c r="A749" s="10" t="n"/>
      <c r="B749" s="2" t="n">
        <v>746</v>
      </c>
      <c r="C749" s="3" t="n"/>
      <c r="D749" s="3" t="n"/>
      <c r="E749" s="2" t="n"/>
      <c r="F749" s="5">
        <f>IF(E749="","",E749*1000)</f>
        <v/>
      </c>
      <c r="G749" s="23" t="n"/>
      <c r="H749" s="56">
        <f>IF(I749&lt;&gt;"",I749,IF(G749="","",IF(ROUND(MOD(G749,1),1)&lt;=0.4,INT(G749)-1,INT(G749))))</f>
        <v/>
      </c>
      <c r="I749" s="56" t="n"/>
      <c r="J749" s="57">
        <f>IF(H749="","",IF(LOWER(A749)="gl",H749-2,IF(H749&gt;=60,H749-5,IF(AND(H749&gt;=50,H749&lt;60),H749-4,IF(AND(H749&gt;=10,H749&lt;50),H749-3,H749)))))</f>
        <v/>
      </c>
      <c r="K749" s="57" t="n"/>
    </row>
    <row r="750" ht="15" customHeight="1">
      <c r="A750" s="10" t="n"/>
      <c r="B750" s="2" t="n">
        <v>747</v>
      </c>
      <c r="C750" s="3" t="n"/>
      <c r="D750" s="3" t="n"/>
      <c r="E750" s="2" t="n"/>
      <c r="F750" s="5">
        <f>IF(E750="","",E750*1000)</f>
        <v/>
      </c>
      <c r="G750" s="23" t="n"/>
      <c r="H750" s="56">
        <f>IF(I750&lt;&gt;"",I750,IF(G750="","",IF(ROUND(MOD(G750,1),1)&lt;=0.4,INT(G750)-1,INT(G750))))</f>
        <v/>
      </c>
      <c r="I750" s="56" t="n"/>
      <c r="J750" s="57">
        <f>IF(H750="","",IF(LOWER(A750)="gl",H750-2,IF(H750&gt;=60,H750-5,IF(AND(H750&gt;=50,H750&lt;60),H750-4,IF(AND(H750&gt;=10,H750&lt;50),H750-3,H750)))))</f>
        <v/>
      </c>
      <c r="K750" s="57" t="n"/>
    </row>
    <row r="751" ht="15" customHeight="1">
      <c r="A751" s="10" t="n"/>
      <c r="B751" s="2" t="n">
        <v>748</v>
      </c>
      <c r="C751" s="3" t="n"/>
      <c r="D751" s="3" t="n"/>
      <c r="E751" s="2" t="n"/>
      <c r="F751" s="5">
        <f>IF(E751="","",E751*1000)</f>
        <v/>
      </c>
      <c r="G751" s="23" t="n"/>
      <c r="H751" s="56">
        <f>IF(I751&lt;&gt;"",I751,IF(G751="","",IF(ROUND(MOD(G751,1),1)&lt;=0.4,INT(G751)-1,INT(G751))))</f>
        <v/>
      </c>
      <c r="I751" s="56" t="n"/>
      <c r="J751" s="57">
        <f>IF(H751="","",IF(LOWER(A751)="gl",H751-2,IF(H751&gt;=60,H751-5,IF(AND(H751&gt;=50,H751&lt;60),H751-4,IF(AND(H751&gt;=10,H751&lt;50),H751-3,H751)))))</f>
        <v/>
      </c>
      <c r="K751" s="57" t="n"/>
    </row>
    <row r="752" ht="15" customHeight="1">
      <c r="A752" s="10" t="n"/>
      <c r="B752" s="2" t="n">
        <v>749</v>
      </c>
      <c r="C752" s="3" t="n"/>
      <c r="D752" s="3" t="n"/>
      <c r="E752" s="2" t="n"/>
      <c r="F752" s="5">
        <f>IF(E752="","",E752*1000)</f>
        <v/>
      </c>
      <c r="G752" s="23" t="n"/>
      <c r="H752" s="56">
        <f>IF(I752&lt;&gt;"",I752,IF(G752="","",IF(ROUND(MOD(G752,1),1)&lt;=0.4,INT(G752)-1,INT(G752))))</f>
        <v/>
      </c>
      <c r="I752" s="56" t="n"/>
      <c r="J752" s="57">
        <f>IF(H752="","",IF(LOWER(A752)="gl",H752-2,IF(H752&gt;=60,H752-5,IF(AND(H752&gt;=50,H752&lt;60),H752-4,IF(AND(H752&gt;=10,H752&lt;50),H752-3,H752)))))</f>
        <v/>
      </c>
      <c r="K752" s="57" t="n"/>
    </row>
    <row r="753" ht="15" customHeight="1">
      <c r="A753" s="10" t="n"/>
      <c r="B753" s="2" t="n">
        <v>750</v>
      </c>
      <c r="C753" s="3" t="n"/>
      <c r="D753" s="3" t="n"/>
      <c r="E753" s="2" t="n"/>
      <c r="F753" s="5">
        <f>IF(E753="","",E753*1000)</f>
        <v/>
      </c>
      <c r="G753" s="23" t="n"/>
      <c r="H753" s="56">
        <f>IF(I753&lt;&gt;"",I753,IF(G753="","",IF(ROUND(MOD(G753,1),1)&lt;=0.4,INT(G753)-1,INT(G753))))</f>
        <v/>
      </c>
      <c r="I753" s="56" t="n"/>
      <c r="J753" s="57">
        <f>IF(H753="","",IF(LOWER(A753)="gl",H753-2,IF(H753&gt;=60,H753-5,IF(AND(H753&gt;=50,H753&lt;60),H753-4,IF(AND(H753&gt;=10,H753&lt;50),H753-3,H753)))))</f>
        <v/>
      </c>
      <c r="K753" s="57" t="n"/>
    </row>
    <row r="754" ht="15" customHeight="1">
      <c r="A754" s="10" t="n"/>
      <c r="B754" s="2" t="n">
        <v>751</v>
      </c>
      <c r="C754" s="3" t="n"/>
      <c r="D754" s="3" t="n"/>
      <c r="E754" s="2" t="n"/>
      <c r="F754" s="5">
        <f>IF(E754="","",E754*1000)</f>
        <v/>
      </c>
      <c r="G754" s="23" t="n"/>
      <c r="H754" s="56">
        <f>IF(I754&lt;&gt;"",I754,IF(G754="","",IF(ROUND(MOD(G754,1),1)&lt;=0.4,INT(G754)-1,INT(G754))))</f>
        <v/>
      </c>
      <c r="I754" s="56" t="n"/>
      <c r="J754" s="57">
        <f>IF(H754="","",IF(LOWER(A754)="gl",H754-2,IF(H754&gt;=60,H754-5,IF(AND(H754&gt;=50,H754&lt;60),H754-4,IF(AND(H754&gt;=10,H754&lt;50),H754-3,H754)))))</f>
        <v/>
      </c>
      <c r="K754" s="57" t="n"/>
    </row>
    <row r="755" ht="15" customHeight="1">
      <c r="A755" s="10" t="n"/>
      <c r="B755" s="2" t="n">
        <v>752</v>
      </c>
      <c r="C755" s="3" t="n"/>
      <c r="D755" s="3" t="n"/>
      <c r="E755" s="2" t="n"/>
      <c r="F755" s="5">
        <f>IF(E755="","",E755*1000)</f>
        <v/>
      </c>
      <c r="G755" s="23" t="n"/>
      <c r="H755" s="56">
        <f>IF(I755&lt;&gt;"",I755,IF(G755="","",IF(ROUND(MOD(G755,1),1)&lt;=0.4,INT(G755)-1,INT(G755))))</f>
        <v/>
      </c>
      <c r="I755" s="56" t="n"/>
      <c r="J755" s="57">
        <f>IF(H755="","",IF(LOWER(A755)="gl",H755-2,IF(H755&gt;=60,H755-5,IF(AND(H755&gt;=50,H755&lt;60),H755-4,IF(AND(H755&gt;=10,H755&lt;50),H755-3,H755)))))</f>
        <v/>
      </c>
      <c r="K755" s="57" t="n"/>
    </row>
    <row r="756" ht="15" customHeight="1">
      <c r="A756" s="10" t="n"/>
      <c r="B756" s="2" t="n">
        <v>753</v>
      </c>
      <c r="C756" s="3" t="n"/>
      <c r="D756" s="3" t="n"/>
      <c r="E756" s="2" t="n"/>
      <c r="F756" s="5">
        <f>IF(E756="","",E756*1000)</f>
        <v/>
      </c>
      <c r="G756" s="23" t="n"/>
      <c r="H756" s="56">
        <f>IF(I756&lt;&gt;"",I756,IF(G756="","",IF(ROUND(MOD(G756,1),1)&lt;=0.4,INT(G756)-1,INT(G756))))</f>
        <v/>
      </c>
      <c r="I756" s="56" t="n"/>
      <c r="J756" s="57">
        <f>IF(H756="","",IF(LOWER(A756)="gl",H756-2,IF(H756&gt;=60,H756-5,IF(AND(H756&gt;=50,H756&lt;60),H756-4,IF(AND(H756&gt;=10,H756&lt;50),H756-3,H756)))))</f>
        <v/>
      </c>
      <c r="K756" s="57" t="n"/>
    </row>
    <row r="757" ht="15" customHeight="1">
      <c r="A757" s="10" t="n"/>
      <c r="B757" s="2" t="n">
        <v>754</v>
      </c>
      <c r="C757" s="3" t="n"/>
      <c r="D757" s="3" t="n"/>
      <c r="E757" s="2" t="n"/>
      <c r="F757" s="5">
        <f>IF(E757="","",E757*1000)</f>
        <v/>
      </c>
      <c r="G757" s="23" t="n"/>
      <c r="H757" s="56">
        <f>IF(I757&lt;&gt;"",I757,IF(G757="","",IF(ROUND(MOD(G757,1),1)&lt;=0.4,INT(G757)-1,INT(G757))))</f>
        <v/>
      </c>
      <c r="I757" s="56" t="n"/>
      <c r="J757" s="57">
        <f>IF(H757="","",IF(LOWER(A757)="gl",H757-2,IF(H757&gt;=60,H757-5,IF(AND(H757&gt;=50,H757&lt;60),H757-4,IF(AND(H757&gt;=10,H757&lt;50),H757-3,H757)))))</f>
        <v/>
      </c>
      <c r="K757" s="57" t="n"/>
    </row>
    <row r="758" ht="15" customHeight="1">
      <c r="A758" s="10" t="n"/>
      <c r="B758" s="2" t="n">
        <v>755</v>
      </c>
      <c r="C758" s="3" t="n"/>
      <c r="D758" s="3" t="n"/>
      <c r="E758" s="2" t="n"/>
      <c r="F758" s="5">
        <f>IF(E758="","",E758*1000)</f>
        <v/>
      </c>
      <c r="G758" s="23" t="n"/>
      <c r="H758" s="56">
        <f>IF(I758&lt;&gt;"",I758,IF(G758="","",IF(ROUND(MOD(G758,1),1)&lt;=0.4,INT(G758)-1,INT(G758))))</f>
        <v/>
      </c>
      <c r="I758" s="56" t="n"/>
      <c r="J758" s="57">
        <f>IF(H758="","",IF(LOWER(A758)="gl",H758-2,IF(H758&gt;=60,H758-5,IF(AND(H758&gt;=50,H758&lt;60),H758-4,IF(AND(H758&gt;=10,H758&lt;50),H758-3,H758)))))</f>
        <v/>
      </c>
      <c r="K758" s="57" t="n"/>
    </row>
    <row r="759" ht="15" customHeight="1">
      <c r="A759" s="10" t="n"/>
      <c r="B759" s="2" t="n">
        <v>756</v>
      </c>
      <c r="C759" s="3" t="n"/>
      <c r="D759" s="3" t="n"/>
      <c r="E759" s="2" t="n"/>
      <c r="F759" s="5">
        <f>IF(E759="","",E759*1000)</f>
        <v/>
      </c>
      <c r="G759" s="23" t="n"/>
      <c r="H759" s="56">
        <f>IF(I759&lt;&gt;"",I759,IF(G759="","",IF(ROUND(MOD(G759,1),1)&lt;=0.4,INT(G759)-1,INT(G759))))</f>
        <v/>
      </c>
      <c r="I759" s="56" t="n"/>
      <c r="J759" s="57">
        <f>IF(H759="","",IF(LOWER(A759)="gl",H759-2,IF(H759&gt;=60,H759-5,IF(AND(H759&gt;=50,H759&lt;60),H759-4,IF(AND(H759&gt;=10,H759&lt;50),H759-3,H759)))))</f>
        <v/>
      </c>
      <c r="K759" s="57" t="n"/>
    </row>
    <row r="760" ht="15" customHeight="1">
      <c r="A760" s="10" t="n"/>
      <c r="B760" s="2" t="n">
        <v>757</v>
      </c>
      <c r="C760" s="3" t="n"/>
      <c r="D760" s="3" t="n"/>
      <c r="E760" s="2" t="n"/>
      <c r="F760" s="5">
        <f>IF(E760="","",E760*1000)</f>
        <v/>
      </c>
      <c r="G760" s="23" t="n"/>
      <c r="H760" s="56">
        <f>IF(I760&lt;&gt;"",I760,IF(G760="","",IF(ROUND(MOD(G760,1),1)&lt;=0.4,INT(G760)-1,INT(G760))))</f>
        <v/>
      </c>
      <c r="I760" s="56" t="n"/>
      <c r="J760" s="57">
        <f>IF(H760="","",IF(LOWER(A760)="gl",H760-2,IF(H760&gt;=60,H760-5,IF(AND(H760&gt;=50,H760&lt;60),H760-4,IF(AND(H760&gt;=10,H760&lt;50),H760-3,H760)))))</f>
        <v/>
      </c>
      <c r="K760" s="57" t="n"/>
    </row>
    <row r="761" ht="15" customHeight="1">
      <c r="A761" s="10" t="n"/>
      <c r="B761" s="2" t="n">
        <v>758</v>
      </c>
      <c r="C761" s="3" t="n"/>
      <c r="D761" s="3" t="n"/>
      <c r="E761" s="2" t="n"/>
      <c r="F761" s="5">
        <f>IF(E761="","",E761*1000)</f>
        <v/>
      </c>
      <c r="G761" s="23" t="n"/>
      <c r="H761" s="56">
        <f>IF(I761&lt;&gt;"",I761,IF(G761="","",IF(ROUND(MOD(G761,1),1)&lt;=0.4,INT(G761)-1,INT(G761))))</f>
        <v/>
      </c>
      <c r="I761" s="56" t="n"/>
      <c r="J761" s="57">
        <f>IF(H761="","",IF(LOWER(A761)="gl",H761-2,IF(H761&gt;=60,H761-5,IF(AND(H761&gt;=50,H761&lt;60),H761-4,IF(AND(H761&gt;=10,H761&lt;50),H761-3,H761)))))</f>
        <v/>
      </c>
      <c r="K761" s="57" t="n"/>
    </row>
    <row r="762" ht="15" customHeight="1">
      <c r="A762" s="10" t="n"/>
      <c r="B762" s="2" t="n">
        <v>759</v>
      </c>
      <c r="C762" s="3" t="n"/>
      <c r="D762" s="3" t="n"/>
      <c r="E762" s="2" t="n"/>
      <c r="F762" s="5">
        <f>IF(E762="","",E762*1000)</f>
        <v/>
      </c>
      <c r="G762" s="23" t="n"/>
      <c r="H762" s="56">
        <f>IF(I762&lt;&gt;"",I762,IF(G762="","",IF(ROUND(MOD(G762,1),1)&lt;=0.4,INT(G762)-1,INT(G762))))</f>
        <v/>
      </c>
      <c r="I762" s="56" t="n"/>
      <c r="J762" s="57">
        <f>IF(H762="","",IF(LOWER(A762)="gl",H762-2,IF(H762&gt;=60,H762-5,IF(AND(H762&gt;=50,H762&lt;60),H762-4,IF(AND(H762&gt;=10,H762&lt;50),H762-3,H762)))))</f>
        <v/>
      </c>
      <c r="K762" s="57" t="n"/>
    </row>
    <row r="763" ht="15" customHeight="1">
      <c r="A763" s="10" t="n"/>
      <c r="B763" s="2" t="n">
        <v>760</v>
      </c>
      <c r="C763" s="3" t="n"/>
      <c r="D763" s="3" t="n"/>
      <c r="E763" s="2" t="n"/>
      <c r="F763" s="5">
        <f>IF(E763="","",E763*1000)</f>
        <v/>
      </c>
      <c r="G763" s="23" t="n"/>
      <c r="H763" s="56">
        <f>IF(I763&lt;&gt;"",I763,IF(G763="","",IF(ROUND(MOD(G763,1),1)&lt;=0.4,INT(G763)-1,INT(G763))))</f>
        <v/>
      </c>
      <c r="I763" s="56" t="n"/>
      <c r="J763" s="57">
        <f>IF(H763="","",IF(LOWER(A763)="gl",H763-2,IF(H763&gt;=60,H763-5,IF(AND(H763&gt;=50,H763&lt;60),H763-4,IF(AND(H763&gt;=10,H763&lt;50),H763-3,H763)))))</f>
        <v/>
      </c>
      <c r="K763" s="57" t="n"/>
    </row>
    <row r="764" ht="15" customHeight="1">
      <c r="A764" s="10" t="n"/>
      <c r="B764" s="2" t="n">
        <v>761</v>
      </c>
      <c r="C764" s="3" t="n"/>
      <c r="D764" s="3" t="n"/>
      <c r="E764" s="2" t="n"/>
      <c r="F764" s="5">
        <f>IF(E764="","",E764*1000)</f>
        <v/>
      </c>
      <c r="G764" s="23" t="n"/>
      <c r="H764" s="56">
        <f>IF(I764&lt;&gt;"",I764,IF(G764="","",IF(ROUND(MOD(G764,1),1)&lt;=0.4,INT(G764)-1,INT(G764))))</f>
        <v/>
      </c>
      <c r="I764" s="56" t="n"/>
      <c r="J764" s="57">
        <f>IF(H764="","",IF(LOWER(A764)="gl",H764-2,IF(H764&gt;=60,H764-5,IF(AND(H764&gt;=50,H764&lt;60),H764-4,IF(AND(H764&gt;=10,H764&lt;50),H764-3,H764)))))</f>
        <v/>
      </c>
      <c r="K764" s="57" t="n"/>
    </row>
    <row r="765" ht="15" customHeight="1">
      <c r="A765" s="10" t="n"/>
      <c r="B765" s="2" t="n">
        <v>762</v>
      </c>
      <c r="C765" s="3" t="n"/>
      <c r="D765" s="3" t="n"/>
      <c r="E765" s="2" t="n"/>
      <c r="F765" s="5">
        <f>IF(E765="","",E765*1000)</f>
        <v/>
      </c>
      <c r="G765" s="23" t="n"/>
      <c r="H765" s="56">
        <f>IF(I765&lt;&gt;"",I765,IF(G765="","",IF(ROUND(MOD(G765,1),1)&lt;=0.4,INT(G765)-1,INT(G765))))</f>
        <v/>
      </c>
      <c r="I765" s="56" t="n"/>
      <c r="J765" s="57">
        <f>IF(H765="","",IF(LOWER(A765)="gl",H765-2,IF(H765&gt;=60,H765-5,IF(AND(H765&gt;=50,H765&lt;60),H765-4,IF(AND(H765&gt;=10,H765&lt;50),H765-3,H765)))))</f>
        <v/>
      </c>
      <c r="K765" s="57" t="n"/>
    </row>
    <row r="766" ht="15" customHeight="1">
      <c r="A766" s="10" t="n"/>
      <c r="B766" s="2" t="n">
        <v>763</v>
      </c>
      <c r="C766" s="3" t="n"/>
      <c r="D766" s="3" t="n"/>
      <c r="E766" s="2" t="n"/>
      <c r="F766" s="5">
        <f>IF(E766="","",E766*1000)</f>
        <v/>
      </c>
      <c r="G766" s="23" t="n"/>
      <c r="H766" s="56">
        <f>IF(I766&lt;&gt;"",I766,IF(G766="","",IF(ROUND(MOD(G766,1),1)&lt;=0.4,INT(G766)-1,INT(G766))))</f>
        <v/>
      </c>
      <c r="I766" s="56" t="n"/>
      <c r="J766" s="57">
        <f>IF(H766="","",IF(LOWER(A766)="gl",H766-2,IF(H766&gt;=60,H766-5,IF(AND(H766&gt;=50,H766&lt;60),H766-4,IF(AND(H766&gt;=10,H766&lt;50),H766-3,H766)))))</f>
        <v/>
      </c>
      <c r="K766" s="57" t="n"/>
    </row>
    <row r="767" ht="15" customHeight="1">
      <c r="A767" s="10" t="n"/>
      <c r="B767" s="2" t="n">
        <v>764</v>
      </c>
      <c r="C767" s="3" t="n"/>
      <c r="D767" s="3" t="n"/>
      <c r="E767" s="2" t="n"/>
      <c r="F767" s="5">
        <f>IF(E767="","",E767*1000)</f>
        <v/>
      </c>
      <c r="G767" s="23" t="n"/>
      <c r="H767" s="56">
        <f>IF(I767&lt;&gt;"",I767,IF(G767="","",IF(ROUND(MOD(G767,1),1)&lt;=0.4,INT(G767)-1,INT(G767))))</f>
        <v/>
      </c>
      <c r="I767" s="56" t="n"/>
      <c r="J767" s="57">
        <f>IF(H767="","",IF(LOWER(A767)="gl",H767-2,IF(H767&gt;=60,H767-5,IF(AND(H767&gt;=50,H767&lt;60),H767-4,IF(AND(H767&gt;=10,H767&lt;50),H767-3,H767)))))</f>
        <v/>
      </c>
      <c r="K767" s="57" t="n"/>
    </row>
    <row r="768" ht="15" customHeight="1">
      <c r="A768" s="10" t="n"/>
      <c r="B768" s="2" t="n">
        <v>765</v>
      </c>
      <c r="C768" s="3" t="n"/>
      <c r="D768" s="3" t="n"/>
      <c r="E768" s="2" t="n"/>
      <c r="F768" s="5">
        <f>IF(E768="","",E768*1000)</f>
        <v/>
      </c>
      <c r="G768" s="23" t="n"/>
      <c r="H768" s="56">
        <f>IF(I768&lt;&gt;"",I768,IF(G768="","",IF(ROUND(MOD(G768,1),1)&lt;=0.4,INT(G768)-1,INT(G768))))</f>
        <v/>
      </c>
      <c r="I768" s="56" t="n"/>
      <c r="J768" s="57">
        <f>IF(H768="","",IF(LOWER(A768)="gl",H768-2,IF(H768&gt;=60,H768-5,IF(AND(H768&gt;=50,H768&lt;60),H768-4,IF(AND(H768&gt;=10,H768&lt;50),H768-3,H768)))))</f>
        <v/>
      </c>
      <c r="K768" s="57" t="n"/>
    </row>
    <row r="769" ht="15" customHeight="1">
      <c r="A769" s="10" t="n"/>
      <c r="B769" s="2" t="n">
        <v>766</v>
      </c>
      <c r="C769" s="3" t="n"/>
      <c r="D769" s="3" t="n"/>
      <c r="E769" s="2" t="n"/>
      <c r="F769" s="5">
        <f>IF(E769="","",E769*1000)</f>
        <v/>
      </c>
      <c r="G769" s="23" t="n"/>
      <c r="H769" s="56">
        <f>IF(I769&lt;&gt;"",I769,IF(G769="","",IF(ROUND(MOD(G769,1),1)&lt;=0.4,INT(G769)-1,INT(G769))))</f>
        <v/>
      </c>
      <c r="I769" s="56" t="n"/>
      <c r="J769" s="57">
        <f>IF(H769="","",IF(LOWER(A769)="gl",H769-2,IF(H769&gt;=60,H769-5,IF(AND(H769&gt;=50,H769&lt;60),H769-4,IF(AND(H769&gt;=10,H769&lt;50),H769-3,H769)))))</f>
        <v/>
      </c>
      <c r="K769" s="57" t="n"/>
    </row>
    <row r="770" ht="15" customHeight="1">
      <c r="A770" s="10" t="n"/>
      <c r="B770" s="2" t="n">
        <v>767</v>
      </c>
      <c r="C770" s="3" t="n"/>
      <c r="D770" s="3" t="n"/>
      <c r="E770" s="2" t="n"/>
      <c r="F770" s="5">
        <f>IF(E770="","",E770*1000)</f>
        <v/>
      </c>
      <c r="G770" s="23" t="n"/>
      <c r="H770" s="56">
        <f>IF(I770&lt;&gt;"",I770,IF(G770="","",IF(ROUND(MOD(G770,1),1)&lt;=0.4,INT(G770)-1,INT(G770))))</f>
        <v/>
      </c>
      <c r="I770" s="56" t="n"/>
      <c r="J770" s="57">
        <f>IF(H770="","",IF(LOWER(A770)="gl",H770-2,IF(H770&gt;=60,H770-5,IF(AND(H770&gt;=50,H770&lt;60),H770-4,IF(AND(H770&gt;=10,H770&lt;50),H770-3,H770)))))</f>
        <v/>
      </c>
      <c r="K770" s="57" t="n"/>
    </row>
    <row r="771" ht="15" customHeight="1">
      <c r="A771" s="10" t="n"/>
      <c r="B771" s="2" t="n">
        <v>768</v>
      </c>
      <c r="C771" s="3" t="n"/>
      <c r="D771" s="3" t="n"/>
      <c r="E771" s="2" t="n"/>
      <c r="F771" s="5">
        <f>IF(E771="","",E771*1000)</f>
        <v/>
      </c>
      <c r="G771" s="23" t="n"/>
      <c r="H771" s="56">
        <f>IF(I771&lt;&gt;"",I771,IF(G771="","",IF(ROUND(MOD(G771,1),1)&lt;=0.4,INT(G771)-1,INT(G771))))</f>
        <v/>
      </c>
      <c r="I771" s="56" t="n"/>
      <c r="J771" s="57">
        <f>IF(H771="","",IF(LOWER(A771)="gl",H771-2,IF(H771&gt;=60,H771-5,IF(AND(H771&gt;=50,H771&lt;60),H771-4,IF(AND(H771&gt;=10,H771&lt;50),H771-3,H771)))))</f>
        <v/>
      </c>
      <c r="K771" s="57" t="n"/>
    </row>
    <row r="772" ht="15" customHeight="1">
      <c r="A772" s="10" t="n"/>
      <c r="B772" s="2" t="n">
        <v>769</v>
      </c>
      <c r="C772" s="3" t="n"/>
      <c r="D772" s="3" t="n"/>
      <c r="E772" s="2" t="n"/>
      <c r="F772" s="5">
        <f>IF(E772="","",E772*1000)</f>
        <v/>
      </c>
      <c r="G772" s="23" t="n"/>
      <c r="H772" s="56">
        <f>IF(I772&lt;&gt;"",I772,IF(G772="","",IF(ROUND(MOD(G772,1),1)&lt;=0.4,INT(G772)-1,INT(G772))))</f>
        <v/>
      </c>
      <c r="I772" s="56" t="n"/>
      <c r="J772" s="57">
        <f>IF(H772="","",IF(LOWER(A772)="gl",H772-2,IF(H772&gt;=60,H772-5,IF(AND(H772&gt;=50,H772&lt;60),H772-4,IF(AND(H772&gt;=10,H772&lt;50),H772-3,H772)))))</f>
        <v/>
      </c>
      <c r="K772" s="57" t="n"/>
    </row>
    <row r="773" ht="15" customHeight="1">
      <c r="A773" s="10" t="n"/>
      <c r="B773" s="2" t="n">
        <v>770</v>
      </c>
      <c r="C773" s="3" t="n"/>
      <c r="D773" s="3" t="n"/>
      <c r="E773" s="2" t="n"/>
      <c r="F773" s="5">
        <f>IF(E773="","",E773*1000)</f>
        <v/>
      </c>
      <c r="G773" s="23" t="n"/>
      <c r="H773" s="56">
        <f>IF(I773&lt;&gt;"",I773,IF(G773="","",IF(ROUND(MOD(G773,1),1)&lt;=0.4,INT(G773)-1,INT(G773))))</f>
        <v/>
      </c>
      <c r="I773" s="56" t="n"/>
      <c r="J773" s="57">
        <f>IF(H773="","",IF(LOWER(A773)="gl",H773-2,IF(H773&gt;=60,H773-5,IF(AND(H773&gt;=50,H773&lt;60),H773-4,IF(AND(H773&gt;=10,H773&lt;50),H773-3,H773)))))</f>
        <v/>
      </c>
      <c r="K773" s="57" t="n"/>
    </row>
    <row r="774" ht="15" customHeight="1">
      <c r="A774" s="10" t="n"/>
      <c r="B774" s="2" t="n">
        <v>771</v>
      </c>
      <c r="C774" s="3" t="n"/>
      <c r="D774" s="3" t="n"/>
      <c r="E774" s="2" t="n"/>
      <c r="F774" s="5">
        <f>IF(E774="","",E774*1000)</f>
        <v/>
      </c>
      <c r="G774" s="23" t="n"/>
      <c r="H774" s="56">
        <f>IF(I774&lt;&gt;"",I774,IF(G774="","",IF(ROUND(MOD(G774,1),1)&lt;=0.4,INT(G774)-1,INT(G774))))</f>
        <v/>
      </c>
      <c r="I774" s="56" t="n"/>
      <c r="J774" s="57">
        <f>IF(H774="","",IF(LOWER(A774)="gl",H774-2,IF(H774&gt;=60,H774-5,IF(AND(H774&gt;=50,H774&lt;60),H774-4,IF(AND(H774&gt;=10,H774&lt;50),H774-3,H774)))))</f>
        <v/>
      </c>
      <c r="K774" s="57" t="n"/>
    </row>
    <row r="775" ht="15" customHeight="1">
      <c r="A775" s="10" t="n"/>
      <c r="B775" s="2" t="n">
        <v>772</v>
      </c>
      <c r="C775" s="3" t="n"/>
      <c r="D775" s="3" t="n"/>
      <c r="E775" s="2" t="n"/>
      <c r="F775" s="5">
        <f>IF(E775="","",E775*1000)</f>
        <v/>
      </c>
      <c r="G775" s="23" t="n"/>
      <c r="H775" s="56">
        <f>IF(I775&lt;&gt;"",I775,IF(G775="","",IF(ROUND(MOD(G775,1),1)&lt;=0.4,INT(G775)-1,INT(G775))))</f>
        <v/>
      </c>
      <c r="I775" s="56" t="n"/>
      <c r="J775" s="57">
        <f>IF(H775="","",IF(LOWER(A775)="gl",H775-2,IF(H775&gt;=60,H775-5,IF(AND(H775&gt;=50,H775&lt;60),H775-4,IF(AND(H775&gt;=10,H775&lt;50),H775-3,H775)))))</f>
        <v/>
      </c>
      <c r="K775" s="57" t="n"/>
    </row>
    <row r="776" ht="15" customHeight="1">
      <c r="A776" s="10" t="n"/>
      <c r="B776" s="2" t="n">
        <v>773</v>
      </c>
      <c r="C776" s="3" t="n"/>
      <c r="D776" s="3" t="n"/>
      <c r="E776" s="2" t="n"/>
      <c r="F776" s="5">
        <f>IF(E776="","",E776*1000)</f>
        <v/>
      </c>
      <c r="G776" s="23" t="n"/>
      <c r="H776" s="56">
        <f>IF(I776&lt;&gt;"",I776,IF(G776="","",IF(ROUND(MOD(G776,1),1)&lt;=0.4,INT(G776)-1,INT(G776))))</f>
        <v/>
      </c>
      <c r="I776" s="56" t="n"/>
      <c r="J776" s="57">
        <f>IF(H776="","",IF(LOWER(A776)="gl",H776-2,IF(H776&gt;=60,H776-5,IF(AND(H776&gt;=50,H776&lt;60),H776-4,IF(AND(H776&gt;=10,H776&lt;50),H776-3,H776)))))</f>
        <v/>
      </c>
      <c r="K776" s="57" t="n"/>
    </row>
    <row r="777" ht="15" customHeight="1">
      <c r="A777" s="10" t="n"/>
      <c r="B777" s="2" t="n">
        <v>774</v>
      </c>
      <c r="C777" s="3" t="n"/>
      <c r="D777" s="3" t="n"/>
      <c r="E777" s="2" t="n"/>
      <c r="F777" s="5">
        <f>IF(E777="","",E777*1000)</f>
        <v/>
      </c>
      <c r="G777" s="23" t="n"/>
      <c r="H777" s="56">
        <f>IF(I777&lt;&gt;"",I777,IF(G777="","",IF(ROUND(MOD(G777,1),1)&lt;=0.4,INT(G777)-1,INT(G777))))</f>
        <v/>
      </c>
      <c r="I777" s="56" t="n"/>
      <c r="J777" s="57">
        <f>IF(H777="","",IF(LOWER(A777)="gl",H777-2,IF(H777&gt;=60,H777-5,IF(AND(H777&gt;=50,H777&lt;60),H777-4,IF(AND(H777&gt;=10,H777&lt;50),H777-3,H777)))))</f>
        <v/>
      </c>
      <c r="K777" s="57" t="n"/>
    </row>
    <row r="778" ht="15" customHeight="1">
      <c r="A778" s="10" t="n"/>
      <c r="B778" s="2" t="n">
        <v>775</v>
      </c>
      <c r="C778" s="3" t="n"/>
      <c r="D778" s="3" t="n"/>
      <c r="E778" s="2" t="n"/>
      <c r="F778" s="5">
        <f>IF(E778="","",E778*1000)</f>
        <v/>
      </c>
      <c r="G778" s="23" t="n"/>
      <c r="H778" s="56">
        <f>IF(I778&lt;&gt;"",I778,IF(G778="","",IF(ROUND(MOD(G778,1),1)&lt;=0.4,INT(G778)-1,INT(G778))))</f>
        <v/>
      </c>
      <c r="I778" s="56" t="n"/>
      <c r="J778" s="57">
        <f>IF(H778="","",IF(LOWER(A778)="gl",H778-2,IF(H778&gt;=60,H778-5,IF(AND(H778&gt;=50,H778&lt;60),H778-4,IF(AND(H778&gt;=10,H778&lt;50),H778-3,H778)))))</f>
        <v/>
      </c>
      <c r="K778" s="57" t="n"/>
    </row>
    <row r="779" ht="15" customHeight="1">
      <c r="A779" s="10" t="n"/>
      <c r="B779" s="2" t="n">
        <v>776</v>
      </c>
      <c r="C779" s="3" t="n"/>
      <c r="D779" s="3" t="n"/>
      <c r="E779" s="2" t="n"/>
      <c r="F779" s="5">
        <f>IF(E779="","",E779*1000)</f>
        <v/>
      </c>
      <c r="G779" s="23" t="n"/>
      <c r="H779" s="56">
        <f>IF(I779&lt;&gt;"",I779,IF(G779="","",IF(ROUND(MOD(G779,1),1)&lt;=0.4,INT(G779)-1,INT(G779))))</f>
        <v/>
      </c>
      <c r="I779" s="56" t="n"/>
      <c r="J779" s="57">
        <f>IF(H779="","",IF(LOWER(A779)="gl",H779-2,IF(H779&gt;=60,H779-5,IF(AND(H779&gt;=50,H779&lt;60),H779-4,IF(AND(H779&gt;=10,H779&lt;50),H779-3,H779)))))</f>
        <v/>
      </c>
      <c r="K779" s="57" t="n"/>
    </row>
    <row r="780" ht="15" customHeight="1">
      <c r="A780" s="10" t="n"/>
      <c r="B780" s="2" t="n">
        <v>777</v>
      </c>
      <c r="C780" s="3" t="n"/>
      <c r="D780" s="3" t="n"/>
      <c r="E780" s="2" t="n"/>
      <c r="F780" s="5">
        <f>IF(E780="","",E780*1000)</f>
        <v/>
      </c>
      <c r="G780" s="23" t="n"/>
      <c r="H780" s="56">
        <f>IF(I780&lt;&gt;"",I780,IF(G780="","",IF(ROUND(MOD(G780,1),1)&lt;=0.4,INT(G780)-1,INT(G780))))</f>
        <v/>
      </c>
      <c r="I780" s="56" t="n"/>
      <c r="J780" s="57">
        <f>IF(H780="","",IF(LOWER(A780)="gl",H780-2,IF(H780&gt;=60,H780-5,IF(AND(H780&gt;=50,H780&lt;60),H780-4,IF(AND(H780&gt;=10,H780&lt;50),H780-3,H780)))))</f>
        <v/>
      </c>
      <c r="K780" s="57" t="n"/>
    </row>
    <row r="781" ht="15" customHeight="1">
      <c r="A781" s="10" t="n"/>
      <c r="B781" s="2" t="n">
        <v>778</v>
      </c>
      <c r="C781" s="3" t="n"/>
      <c r="D781" s="3" t="n"/>
      <c r="E781" s="2" t="n"/>
      <c r="F781" s="5">
        <f>IF(E781="","",E781*1000)</f>
        <v/>
      </c>
      <c r="G781" s="23" t="n"/>
      <c r="H781" s="56">
        <f>IF(I781&lt;&gt;"",I781,IF(G781="","",IF(ROUND(MOD(G781,1),1)&lt;=0.4,INT(G781)-1,INT(G781))))</f>
        <v/>
      </c>
      <c r="I781" s="56" t="n"/>
      <c r="J781" s="57">
        <f>IF(H781="","",IF(LOWER(A781)="gl",H781-2,IF(H781&gt;=60,H781-5,IF(AND(H781&gt;=50,H781&lt;60),H781-4,IF(AND(H781&gt;=10,H781&lt;50),H781-3,H781)))))</f>
        <v/>
      </c>
      <c r="K781" s="57" t="n"/>
    </row>
    <row r="782" ht="15" customHeight="1">
      <c r="A782" s="10" t="n"/>
      <c r="B782" s="2" t="n">
        <v>779</v>
      </c>
      <c r="C782" s="3" t="n"/>
      <c r="D782" s="3" t="n"/>
      <c r="E782" s="2" t="n"/>
      <c r="F782" s="5">
        <f>IF(E782="","",E782*1000)</f>
        <v/>
      </c>
      <c r="G782" s="23" t="n"/>
      <c r="H782" s="56">
        <f>IF(I782&lt;&gt;"",I782,IF(G782="","",IF(ROUND(MOD(G782,1),1)&lt;=0.4,INT(G782)-1,INT(G782))))</f>
        <v/>
      </c>
      <c r="I782" s="56" t="n"/>
      <c r="J782" s="57">
        <f>IF(H782="","",IF(LOWER(A782)="gl",H782-2,IF(H782&gt;=60,H782-5,IF(AND(H782&gt;=50,H782&lt;60),H782-4,IF(AND(H782&gt;=10,H782&lt;50),H782-3,H782)))))</f>
        <v/>
      </c>
      <c r="K782" s="57" t="n"/>
    </row>
    <row r="783" ht="15" customHeight="1">
      <c r="A783" s="10" t="n"/>
      <c r="B783" s="2" t="n">
        <v>780</v>
      </c>
      <c r="C783" s="3" t="n"/>
      <c r="D783" s="3" t="n"/>
      <c r="E783" s="2" t="n"/>
      <c r="F783" s="5">
        <f>IF(E783="","",E783*1000)</f>
        <v/>
      </c>
      <c r="G783" s="23" t="n"/>
      <c r="H783" s="56">
        <f>IF(I783&lt;&gt;"",I783,IF(G783="","",IF(ROUND(MOD(G783,1),1)&lt;=0.4,INT(G783)-1,INT(G783))))</f>
        <v/>
      </c>
      <c r="I783" s="56" t="n"/>
      <c r="J783" s="57">
        <f>IF(H783="","",IF(LOWER(A783)="gl",H783-2,IF(H783&gt;=60,H783-5,IF(AND(H783&gt;=50,H783&lt;60),H783-4,IF(AND(H783&gt;=10,H783&lt;50),H783-3,H783)))))</f>
        <v/>
      </c>
      <c r="K783" s="57" t="n"/>
    </row>
    <row r="784" ht="15" customHeight="1">
      <c r="A784" s="10" t="n"/>
      <c r="B784" s="2" t="n">
        <v>781</v>
      </c>
      <c r="C784" s="3" t="n"/>
      <c r="D784" s="3" t="n"/>
      <c r="E784" s="2" t="n"/>
      <c r="F784" s="5">
        <f>IF(E784="","",E784*1000)</f>
        <v/>
      </c>
      <c r="G784" s="23" t="n"/>
      <c r="H784" s="56">
        <f>IF(I784&lt;&gt;"",I784,IF(G784="","",IF(ROUND(MOD(G784,1),1)&lt;=0.4,INT(G784)-1,INT(G784))))</f>
        <v/>
      </c>
      <c r="I784" s="56" t="n"/>
      <c r="J784" s="57">
        <f>IF(H784="","",IF(LOWER(A784)="gl",H784-2,IF(H784&gt;=60,H784-5,IF(AND(H784&gt;=50,H784&lt;60),H784-4,IF(AND(H784&gt;=10,H784&lt;50),H784-3,H784)))))</f>
        <v/>
      </c>
      <c r="K784" s="57" t="n"/>
    </row>
    <row r="785" ht="15" customHeight="1">
      <c r="A785" s="10" t="n"/>
      <c r="B785" s="2" t="n">
        <v>782</v>
      </c>
      <c r="C785" s="3" t="n"/>
      <c r="D785" s="3" t="n"/>
      <c r="E785" s="2" t="n"/>
      <c r="F785" s="5">
        <f>IF(E785="","",E785*1000)</f>
        <v/>
      </c>
      <c r="G785" s="23" t="n"/>
      <c r="H785" s="56">
        <f>IF(I785&lt;&gt;"",I785,IF(G785="","",IF(ROUND(MOD(G785,1),1)&lt;=0.4,INT(G785)-1,INT(G785))))</f>
        <v/>
      </c>
      <c r="I785" s="56" t="n"/>
      <c r="J785" s="57">
        <f>IF(H785="","",IF(LOWER(A785)="gl",H785-2,IF(H785&gt;=60,H785-5,IF(AND(H785&gt;=50,H785&lt;60),H785-4,IF(AND(H785&gt;=10,H785&lt;50),H785-3,H785)))))</f>
        <v/>
      </c>
      <c r="K785" s="57" t="n"/>
    </row>
    <row r="786" ht="15" customHeight="1">
      <c r="A786" s="10" t="n"/>
      <c r="B786" s="2" t="n">
        <v>783</v>
      </c>
      <c r="C786" s="3" t="n"/>
      <c r="D786" s="3" t="n"/>
      <c r="E786" s="2" t="n"/>
      <c r="F786" s="5">
        <f>IF(E786="","",E786*1000)</f>
        <v/>
      </c>
      <c r="G786" s="23" t="n"/>
      <c r="H786" s="56">
        <f>IF(I786&lt;&gt;"",I786,IF(G786="","",IF(ROUND(MOD(G786,1),1)&lt;=0.4,INT(G786)-1,INT(G786))))</f>
        <v/>
      </c>
      <c r="I786" s="56" t="n"/>
      <c r="J786" s="57">
        <f>IF(H786="","",IF(LOWER(A786)="gl",H786-2,IF(H786&gt;=60,H786-5,IF(AND(H786&gt;=50,H786&lt;60),H786-4,IF(AND(H786&gt;=10,H786&lt;50),H786-3,H786)))))</f>
        <v/>
      </c>
      <c r="K786" s="57" t="n"/>
    </row>
    <row r="787" ht="15" customHeight="1">
      <c r="A787" s="10" t="n"/>
      <c r="B787" s="2" t="n">
        <v>784</v>
      </c>
      <c r="C787" s="3" t="n"/>
      <c r="D787" s="3" t="n"/>
      <c r="E787" s="2" t="n"/>
      <c r="F787" s="5">
        <f>IF(E787="","",E787*1000)</f>
        <v/>
      </c>
      <c r="G787" s="23" t="n"/>
      <c r="H787" s="56">
        <f>IF(I787&lt;&gt;"",I787,IF(G787="","",IF(ROUND(MOD(G787,1),1)&lt;=0.4,INT(G787)-1,INT(G787))))</f>
        <v/>
      </c>
      <c r="I787" s="56" t="n"/>
      <c r="J787" s="57">
        <f>IF(H787="","",IF(LOWER(A787)="gl",H787-2,IF(H787&gt;=60,H787-5,IF(AND(H787&gt;=50,H787&lt;60),H787-4,IF(AND(H787&gt;=10,H787&lt;50),H787-3,H787)))))</f>
        <v/>
      </c>
      <c r="K787" s="57" t="n"/>
    </row>
    <row r="788" ht="15" customHeight="1">
      <c r="A788" s="10" t="n"/>
      <c r="B788" s="2" t="n">
        <v>785</v>
      </c>
      <c r="C788" s="3" t="n"/>
      <c r="D788" s="3" t="n"/>
      <c r="E788" s="2" t="n"/>
      <c r="F788" s="5">
        <f>IF(E788="","",E788*1000)</f>
        <v/>
      </c>
      <c r="G788" s="23" t="n"/>
      <c r="H788" s="56">
        <f>IF(I788&lt;&gt;"",I788,IF(G788="","",IF(ROUND(MOD(G788,1),1)&lt;=0.4,INT(G788)-1,INT(G788))))</f>
        <v/>
      </c>
      <c r="I788" s="56" t="n"/>
      <c r="J788" s="57">
        <f>IF(H788="","",IF(LOWER(A788)="gl",H788-2,IF(H788&gt;=60,H788-5,IF(AND(H788&gt;=50,H788&lt;60),H788-4,IF(AND(H788&gt;=10,H788&lt;50),H788-3,H788)))))</f>
        <v/>
      </c>
      <c r="K788" s="57" t="n"/>
    </row>
    <row r="789" ht="15" customHeight="1">
      <c r="A789" s="10" t="n"/>
      <c r="B789" s="2" t="n">
        <v>786</v>
      </c>
      <c r="C789" s="3" t="n"/>
      <c r="D789" s="3" t="n"/>
      <c r="E789" s="2" t="n"/>
      <c r="F789" s="5">
        <f>IF(E789="","",E789*1000)</f>
        <v/>
      </c>
      <c r="G789" s="23" t="n"/>
      <c r="H789" s="56">
        <f>IF(I789&lt;&gt;"",I789,IF(G789="","",IF(ROUND(MOD(G789,1),1)&lt;=0.4,INT(G789)-1,INT(G789))))</f>
        <v/>
      </c>
      <c r="I789" s="56" t="n"/>
      <c r="J789" s="57">
        <f>IF(H789="","",IF(LOWER(A789)="gl",H789-2,IF(H789&gt;=60,H789-5,IF(AND(H789&gt;=50,H789&lt;60),H789-4,IF(AND(H789&gt;=10,H789&lt;50),H789-3,H789)))))</f>
        <v/>
      </c>
      <c r="K789" s="57" t="n"/>
    </row>
    <row r="790" ht="15" customHeight="1">
      <c r="A790" s="10" t="n"/>
      <c r="B790" s="2" t="n">
        <v>787</v>
      </c>
      <c r="C790" s="3" t="n"/>
      <c r="D790" s="3" t="n"/>
      <c r="E790" s="2" t="n"/>
      <c r="F790" s="5">
        <f>IF(E790="","",E790*1000)</f>
        <v/>
      </c>
      <c r="G790" s="23" t="n"/>
      <c r="H790" s="56">
        <f>IF(I790&lt;&gt;"",I790,IF(G790="","",IF(ROUND(MOD(G790,1),1)&lt;=0.4,INT(G790)-1,INT(G790))))</f>
        <v/>
      </c>
      <c r="I790" s="56" t="n"/>
      <c r="J790" s="57">
        <f>IF(H790="","",IF(LOWER(A790)="gl",H790-2,IF(H790&gt;=60,H790-5,IF(AND(H790&gt;=50,H790&lt;60),H790-4,IF(AND(H790&gt;=10,H790&lt;50),H790-3,H790)))))</f>
        <v/>
      </c>
      <c r="K790" s="57" t="n"/>
    </row>
    <row r="791" ht="15" customHeight="1">
      <c r="A791" s="10" t="n"/>
      <c r="B791" s="2" t="n">
        <v>788</v>
      </c>
      <c r="C791" s="3" t="n"/>
      <c r="D791" s="3" t="n"/>
      <c r="E791" s="2" t="n"/>
      <c r="F791" s="5">
        <f>IF(E791="","",E791*1000)</f>
        <v/>
      </c>
      <c r="G791" s="23" t="n"/>
      <c r="H791" s="56">
        <f>IF(I791&lt;&gt;"",I791,IF(G791="","",IF(ROUND(MOD(G791,1),1)&lt;=0.4,INT(G791)-1,INT(G791))))</f>
        <v/>
      </c>
      <c r="I791" s="56" t="n"/>
      <c r="J791" s="57">
        <f>IF(H791="","",IF(LOWER(A791)="gl",H791-2,IF(H791&gt;=60,H791-5,IF(AND(H791&gt;=50,H791&lt;60),H791-4,IF(AND(H791&gt;=10,H791&lt;50),H791-3,H791)))))</f>
        <v/>
      </c>
      <c r="K791" s="57" t="n"/>
    </row>
    <row r="792" ht="15" customHeight="1">
      <c r="A792" s="10" t="n"/>
      <c r="B792" s="2" t="n">
        <v>789</v>
      </c>
      <c r="C792" s="3" t="n"/>
      <c r="D792" s="3" t="n"/>
      <c r="E792" s="2" t="n"/>
      <c r="F792" s="5">
        <f>IF(E792="","",E792*1000)</f>
        <v/>
      </c>
      <c r="G792" s="23" t="n"/>
      <c r="H792" s="56">
        <f>IF(I792&lt;&gt;"",I792,IF(G792="","",IF(ROUND(MOD(G792,1),1)&lt;=0.4,INT(G792)-1,INT(G792))))</f>
        <v/>
      </c>
      <c r="I792" s="56" t="n"/>
      <c r="J792" s="57">
        <f>IF(H792="","",IF(LOWER(A792)="gl",H792-2,IF(H792&gt;=60,H792-5,IF(AND(H792&gt;=50,H792&lt;60),H792-4,IF(AND(H792&gt;=10,H792&lt;50),H792-3,H792)))))</f>
        <v/>
      </c>
      <c r="K792" s="57" t="n"/>
    </row>
    <row r="793" ht="15" customHeight="1">
      <c r="A793" s="10" t="n"/>
      <c r="B793" s="2" t="n">
        <v>790</v>
      </c>
      <c r="C793" s="3" t="n"/>
      <c r="D793" s="3" t="n"/>
      <c r="E793" s="2" t="n"/>
      <c r="F793" s="5">
        <f>IF(E793="","",E793*1000)</f>
        <v/>
      </c>
      <c r="G793" s="23" t="n"/>
      <c r="H793" s="56">
        <f>IF(I793&lt;&gt;"",I793,IF(G793="","",IF(ROUND(MOD(G793,1),1)&lt;=0.4,INT(G793)-1,INT(G793))))</f>
        <v/>
      </c>
      <c r="I793" s="56" t="n"/>
      <c r="J793" s="57">
        <f>IF(H793="","",IF(LOWER(A793)="gl",H793-2,IF(H793&gt;=60,H793-5,IF(AND(H793&gt;=50,H793&lt;60),H793-4,IF(AND(H793&gt;=10,H793&lt;50),H793-3,H793)))))</f>
        <v/>
      </c>
      <c r="K793" s="57" t="n"/>
    </row>
    <row r="794" ht="15" customHeight="1">
      <c r="A794" s="10" t="n"/>
      <c r="B794" s="2" t="n">
        <v>791</v>
      </c>
      <c r="C794" s="3" t="n"/>
      <c r="D794" s="3" t="n"/>
      <c r="E794" s="2" t="n"/>
      <c r="F794" s="5">
        <f>IF(E794="","",E794*1000)</f>
        <v/>
      </c>
      <c r="G794" s="23" t="n"/>
      <c r="H794" s="56">
        <f>IF(I794&lt;&gt;"",I794,IF(G794="","",IF(ROUND(MOD(G794,1),1)&lt;=0.4,INT(G794)-1,INT(G794))))</f>
        <v/>
      </c>
      <c r="I794" s="56" t="n"/>
      <c r="J794" s="57">
        <f>IF(H794="","",IF(LOWER(A794)="gl",H794-2,IF(H794&gt;=60,H794-5,IF(AND(H794&gt;=50,H794&lt;60),H794-4,IF(AND(H794&gt;=10,H794&lt;50),H794-3,H794)))))</f>
        <v/>
      </c>
      <c r="K794" s="57" t="n"/>
    </row>
    <row r="795" ht="15" customHeight="1">
      <c r="A795" s="10" t="n"/>
      <c r="B795" s="2" t="n">
        <v>792</v>
      </c>
      <c r="C795" s="3" t="n"/>
      <c r="D795" s="3" t="n"/>
      <c r="E795" s="2" t="n"/>
      <c r="F795" s="5">
        <f>IF(E795="","",E795*1000)</f>
        <v/>
      </c>
      <c r="G795" s="23" t="n"/>
      <c r="H795" s="56">
        <f>IF(I795&lt;&gt;"",I795,IF(G795="","",IF(ROUND(MOD(G795,1),1)&lt;=0.4,INT(G795)-1,INT(G795))))</f>
        <v/>
      </c>
      <c r="I795" s="56" t="n"/>
      <c r="J795" s="57">
        <f>IF(H795="","",IF(LOWER(A795)="gl",H795-2,IF(H795&gt;=60,H795-5,IF(AND(H795&gt;=50,H795&lt;60),H795-4,IF(AND(H795&gt;=10,H795&lt;50),H795-3,H795)))))</f>
        <v/>
      </c>
      <c r="K795" s="57" t="n"/>
    </row>
    <row r="796" ht="15" customHeight="1">
      <c r="A796" s="10" t="n"/>
      <c r="B796" s="2" t="n">
        <v>793</v>
      </c>
      <c r="C796" s="3" t="n"/>
      <c r="D796" s="3" t="n"/>
      <c r="E796" s="2" t="n"/>
      <c r="F796" s="5">
        <f>IF(E796="","",E796*1000)</f>
        <v/>
      </c>
      <c r="G796" s="23" t="n"/>
      <c r="H796" s="56">
        <f>IF(I796&lt;&gt;"",I796,IF(G796="","",IF(ROUND(MOD(G796,1),1)&lt;=0.4,INT(G796)-1,INT(G796))))</f>
        <v/>
      </c>
      <c r="I796" s="56" t="n"/>
      <c r="J796" s="57">
        <f>IF(H796="","",IF(LOWER(A796)="gl",H796-2,IF(H796&gt;=60,H796-5,IF(AND(H796&gt;=50,H796&lt;60),H796-4,IF(AND(H796&gt;=10,H796&lt;50),H796-3,H796)))))</f>
        <v/>
      </c>
      <c r="K796" s="57" t="n"/>
    </row>
    <row r="797" ht="15" customHeight="1">
      <c r="A797" s="10" t="n"/>
      <c r="B797" s="2" t="n">
        <v>794</v>
      </c>
      <c r="C797" s="3" t="n"/>
      <c r="D797" s="3" t="n"/>
      <c r="E797" s="2" t="n"/>
      <c r="F797" s="5">
        <f>IF(E797="","",E797*1000)</f>
        <v/>
      </c>
      <c r="G797" s="23" t="n"/>
      <c r="H797" s="56">
        <f>IF(I797&lt;&gt;"",I797,IF(G797="","",IF(ROUND(MOD(G797,1),1)&lt;=0.4,INT(G797)-1,INT(G797))))</f>
        <v/>
      </c>
      <c r="I797" s="56" t="n"/>
      <c r="J797" s="57">
        <f>IF(H797="","",IF(LOWER(A797)="gl",H797-2,IF(H797&gt;=60,H797-5,IF(AND(H797&gt;=50,H797&lt;60),H797-4,IF(AND(H797&gt;=10,H797&lt;50),H797-3,H797)))))</f>
        <v/>
      </c>
      <c r="K797" s="57" t="n"/>
    </row>
    <row r="798" ht="15" customHeight="1">
      <c r="A798" s="10" t="n"/>
      <c r="B798" s="2" t="n">
        <v>795</v>
      </c>
      <c r="C798" s="3" t="n"/>
      <c r="D798" s="3" t="n"/>
      <c r="E798" s="2" t="n"/>
      <c r="F798" s="5">
        <f>IF(E798="","",E798*1000)</f>
        <v/>
      </c>
      <c r="G798" s="23" t="n"/>
      <c r="H798" s="56">
        <f>IF(I798&lt;&gt;"",I798,IF(G798="","",IF(ROUND(MOD(G798,1),1)&lt;=0.4,INT(G798)-1,INT(G798))))</f>
        <v/>
      </c>
      <c r="I798" s="56" t="n"/>
      <c r="J798" s="57">
        <f>IF(H798="","",IF(LOWER(A798)="gl",H798-2,IF(H798&gt;=60,H798-5,IF(AND(H798&gt;=50,H798&lt;60),H798-4,IF(AND(H798&gt;=10,H798&lt;50),H798-3,H798)))))</f>
        <v/>
      </c>
      <c r="K798" s="57" t="n"/>
    </row>
    <row r="799" ht="15" customHeight="1">
      <c r="A799" s="10" t="n"/>
      <c r="B799" s="2" t="n">
        <v>796</v>
      </c>
      <c r="C799" s="3" t="n"/>
      <c r="D799" s="3" t="n"/>
      <c r="E799" s="2" t="n"/>
      <c r="F799" s="5">
        <f>IF(E799="","",E799*1000)</f>
        <v/>
      </c>
      <c r="G799" s="23" t="n"/>
      <c r="H799" s="56">
        <f>IF(I799&lt;&gt;"",I799,IF(G799="","",IF(ROUND(MOD(G799,1),1)&lt;=0.4,INT(G799)-1,INT(G799))))</f>
        <v/>
      </c>
      <c r="I799" s="56" t="n"/>
      <c r="J799" s="57">
        <f>IF(H799="","",IF(LOWER(A799)="gl",H799-2,IF(H799&gt;=60,H799-5,IF(AND(H799&gt;=50,H799&lt;60),H799-4,IF(AND(H799&gt;=10,H799&lt;50),H799-3,H799)))))</f>
        <v/>
      </c>
      <c r="K799" s="57" t="n"/>
    </row>
    <row r="800" ht="15" customHeight="1">
      <c r="A800" s="10" t="n"/>
      <c r="B800" s="2" t="n">
        <v>797</v>
      </c>
      <c r="C800" s="3" t="n"/>
      <c r="D800" s="3" t="n"/>
      <c r="E800" s="2" t="n"/>
      <c r="F800" s="5">
        <f>IF(E800="","",E800*1000)</f>
        <v/>
      </c>
      <c r="G800" s="23" t="n"/>
      <c r="H800" s="56">
        <f>IF(I800&lt;&gt;"",I800,IF(G800="","",IF(ROUND(MOD(G800,1),1)&lt;=0.4,INT(G800)-1,INT(G800))))</f>
        <v/>
      </c>
      <c r="I800" s="56" t="n"/>
      <c r="J800" s="57">
        <f>IF(H800="","",IF(LOWER(A800)="gl",H800-2,IF(H800&gt;=60,H800-5,IF(AND(H800&gt;=50,H800&lt;60),H800-4,IF(AND(H800&gt;=10,H800&lt;50),H800-3,H800)))))</f>
        <v/>
      </c>
      <c r="K800" s="57" t="n"/>
    </row>
    <row r="801" ht="15" customHeight="1">
      <c r="A801" s="10" t="n"/>
      <c r="B801" s="2" t="n">
        <v>798</v>
      </c>
      <c r="C801" s="3" t="n"/>
      <c r="D801" s="3" t="n"/>
      <c r="E801" s="2" t="n"/>
      <c r="F801" s="5">
        <f>IF(E801="","",E801*1000)</f>
        <v/>
      </c>
      <c r="G801" s="23" t="n"/>
      <c r="H801" s="56">
        <f>IF(I801&lt;&gt;"",I801,IF(G801="","",IF(ROUND(MOD(G801,1),1)&lt;=0.4,INT(G801)-1,INT(G801))))</f>
        <v/>
      </c>
      <c r="I801" s="56" t="n"/>
      <c r="J801" s="57">
        <f>IF(H801="","",IF(LOWER(A801)="gl",H801-2,IF(H801&gt;=60,H801-5,IF(AND(H801&gt;=50,H801&lt;60),H801-4,IF(AND(H801&gt;=10,H801&lt;50),H801-3,H801)))))</f>
        <v/>
      </c>
      <c r="K801" s="57" t="n"/>
    </row>
    <row r="802" ht="15" customHeight="1">
      <c r="A802" s="10" t="n"/>
      <c r="B802" s="2" t="n">
        <v>799</v>
      </c>
      <c r="C802" s="3" t="n"/>
      <c r="D802" s="3" t="n"/>
      <c r="E802" s="2" t="n"/>
      <c r="F802" s="5">
        <f>IF(E802="","",E802*1000)</f>
        <v/>
      </c>
      <c r="G802" s="23" t="n"/>
      <c r="H802" s="56">
        <f>IF(I802&lt;&gt;"",I802,IF(G802="","",IF(ROUND(MOD(G802,1),1)&lt;=0.4,INT(G802)-1,INT(G802))))</f>
        <v/>
      </c>
      <c r="I802" s="56" t="n"/>
      <c r="J802" s="57">
        <f>IF(H802="","",IF(LOWER(A802)="gl",H802-2,IF(H802&gt;=60,H802-5,IF(AND(H802&gt;=50,H802&lt;60),H802-4,IF(AND(H802&gt;=10,H802&lt;50),H802-3,H802)))))</f>
        <v/>
      </c>
      <c r="K802" s="57" t="n"/>
    </row>
    <row r="803" ht="15" customHeight="1">
      <c r="A803" s="10" t="n"/>
      <c r="B803" s="2" t="n">
        <v>800</v>
      </c>
      <c r="C803" s="3" t="n"/>
      <c r="D803" s="3" t="n"/>
      <c r="E803" s="2" t="n"/>
      <c r="F803" s="5">
        <f>IF(E803="","",E803*1000)</f>
        <v/>
      </c>
      <c r="G803" s="23" t="n"/>
      <c r="H803" s="56">
        <f>IF(I803&lt;&gt;"",I803,IF(G803="","",IF(ROUND(MOD(G803,1),1)&lt;=0.4,INT(G803)-1,INT(G803))))</f>
        <v/>
      </c>
      <c r="I803" s="56" t="n"/>
      <c r="J803" s="57">
        <f>IF(H803="","",IF(LOWER(A803)="gl",H803-2,IF(H803&gt;=60,H803-5,IF(AND(H803&gt;=50,H803&lt;60),H803-4,IF(AND(H803&gt;=10,H803&lt;50),H803-3,H803)))))</f>
        <v/>
      </c>
      <c r="K803" s="57" t="n"/>
    </row>
    <row r="804" ht="15" customHeight="1">
      <c r="A804" s="10" t="n"/>
      <c r="B804" s="2" t="n">
        <v>801</v>
      </c>
      <c r="C804" s="3" t="n"/>
      <c r="D804" s="3" t="n"/>
      <c r="E804" s="2" t="n"/>
      <c r="F804" s="5">
        <f>IF(E804="","",E804*1000)</f>
        <v/>
      </c>
      <c r="G804" s="23" t="n"/>
      <c r="H804" s="56">
        <f>IF(I804&lt;&gt;"",I804,IF(G804="","",IF(ROUND(MOD(G804,1),1)&lt;=0.4,INT(G804)-1,INT(G804))))</f>
        <v/>
      </c>
      <c r="I804" s="56" t="n"/>
      <c r="J804" s="57">
        <f>IF(H804="","",IF(LOWER(A804)="gl",H804-2,IF(H804&gt;=60,H804-5,IF(AND(H804&gt;=50,H804&lt;60),H804-4,IF(AND(H804&gt;=10,H804&lt;50),H804-3,H804)))))</f>
        <v/>
      </c>
      <c r="K804" s="57" t="n"/>
    </row>
    <row r="805" ht="15" customHeight="1">
      <c r="A805" s="10" t="n"/>
      <c r="B805" s="2" t="n">
        <v>802</v>
      </c>
      <c r="C805" s="3" t="n"/>
      <c r="D805" s="3" t="n"/>
      <c r="E805" s="2" t="n"/>
      <c r="F805" s="5">
        <f>IF(E805="","",E805*1000)</f>
        <v/>
      </c>
      <c r="G805" s="23" t="n"/>
      <c r="H805" s="56">
        <f>IF(I805&lt;&gt;"",I805,IF(G805="","",IF(ROUND(MOD(G805,1),1)&lt;=0.4,INT(G805)-1,INT(G805))))</f>
        <v/>
      </c>
      <c r="I805" s="56" t="n"/>
      <c r="J805" s="57">
        <f>IF(H805="","",IF(LOWER(A805)="gl",H805-2,IF(H805&gt;=60,H805-5,IF(AND(H805&gt;=50,H805&lt;60),H805-4,IF(AND(H805&gt;=10,H805&lt;50),H805-3,H805)))))</f>
        <v/>
      </c>
      <c r="K805" s="57" t="n"/>
    </row>
    <row r="806" ht="15" customHeight="1">
      <c r="A806" s="10" t="n"/>
      <c r="B806" s="2" t="n">
        <v>803</v>
      </c>
      <c r="C806" s="3" t="n"/>
      <c r="D806" s="3" t="n"/>
      <c r="E806" s="2" t="n"/>
      <c r="F806" s="5">
        <f>IF(E806="","",E806*1000)</f>
        <v/>
      </c>
      <c r="G806" s="23" t="n"/>
      <c r="H806" s="56">
        <f>IF(I806&lt;&gt;"",I806,IF(G806="","",IF(ROUND(MOD(G806,1),1)&lt;=0.4,INT(G806)-1,INT(G806))))</f>
        <v/>
      </c>
      <c r="I806" s="56" t="n"/>
      <c r="J806" s="57">
        <f>IF(H806="","",IF(LOWER(A806)="gl",H806-2,IF(H806&gt;=60,H806-5,IF(AND(H806&gt;=50,H806&lt;60),H806-4,IF(AND(H806&gt;=10,H806&lt;50),H806-3,H806)))))</f>
        <v/>
      </c>
      <c r="K806" s="57" t="n"/>
    </row>
    <row r="807" ht="15" customHeight="1">
      <c r="A807" s="10" t="n"/>
      <c r="B807" s="2" t="n">
        <v>804</v>
      </c>
      <c r="C807" s="3" t="n"/>
      <c r="D807" s="3" t="n"/>
      <c r="E807" s="2" t="n"/>
      <c r="F807" s="5">
        <f>IF(E807="","",E807*1000)</f>
        <v/>
      </c>
      <c r="G807" s="23" t="n"/>
      <c r="H807" s="56">
        <f>IF(I807&lt;&gt;"",I807,IF(G807="","",IF(ROUND(MOD(G807,1),1)&lt;=0.4,INT(G807)-1,INT(G807))))</f>
        <v/>
      </c>
      <c r="I807" s="56" t="n"/>
      <c r="J807" s="57">
        <f>IF(H807="","",IF(LOWER(A807)="gl",H807-2,IF(H807&gt;=60,H807-5,IF(AND(H807&gt;=50,H807&lt;60),H807-4,IF(AND(H807&gt;=10,H807&lt;50),H807-3,H807)))))</f>
        <v/>
      </c>
      <c r="K807" s="57" t="n"/>
    </row>
    <row r="808" ht="15" customHeight="1">
      <c r="A808" s="10" t="n"/>
      <c r="B808" s="2" t="n">
        <v>805</v>
      </c>
      <c r="C808" s="3" t="n"/>
      <c r="D808" s="3" t="n"/>
      <c r="E808" s="2" t="n"/>
      <c r="F808" s="5">
        <f>IF(E808="","",E808*1000)</f>
        <v/>
      </c>
      <c r="G808" s="23" t="n"/>
      <c r="H808" s="56">
        <f>IF(I808&lt;&gt;"",I808,IF(G808="","",IF(ROUND(MOD(G808,1),1)&lt;=0.4,INT(G808)-1,INT(G808))))</f>
        <v/>
      </c>
      <c r="I808" s="56" t="n"/>
      <c r="J808" s="57">
        <f>IF(H808="","",IF(LOWER(A808)="gl",H808-2,IF(H808&gt;=60,H808-5,IF(AND(H808&gt;=50,H808&lt;60),H808-4,IF(AND(H808&gt;=10,H808&lt;50),H808-3,H808)))))</f>
        <v/>
      </c>
      <c r="K808" s="57" t="n"/>
    </row>
    <row r="809" ht="15" customHeight="1">
      <c r="A809" s="10" t="n"/>
      <c r="B809" s="2" t="n">
        <v>806</v>
      </c>
      <c r="C809" s="3" t="n"/>
      <c r="D809" s="3" t="n"/>
      <c r="E809" s="2" t="n"/>
      <c r="F809" s="5">
        <f>IF(E809="","",E809*1000)</f>
        <v/>
      </c>
      <c r="G809" s="23" t="n"/>
      <c r="H809" s="56">
        <f>IF(I809&lt;&gt;"",I809,IF(G809="","",IF(ROUND(MOD(G809,1),1)&lt;=0.4,INT(G809)-1,INT(G809))))</f>
        <v/>
      </c>
      <c r="I809" s="56" t="n"/>
      <c r="J809" s="57">
        <f>IF(H809="","",IF(LOWER(A809)="gl",H809-2,IF(H809&gt;=60,H809-5,IF(AND(H809&gt;=50,H809&lt;60),H809-4,IF(AND(H809&gt;=10,H809&lt;50),H809-3,H809)))))</f>
        <v/>
      </c>
      <c r="K809" s="57" t="n"/>
    </row>
    <row r="810" ht="15" customHeight="1">
      <c r="A810" s="10" t="n"/>
      <c r="B810" s="2" t="n">
        <v>807</v>
      </c>
      <c r="C810" s="3" t="n"/>
      <c r="D810" s="3" t="n"/>
      <c r="E810" s="2" t="n"/>
      <c r="F810" s="5">
        <f>IF(E810="","",E810*1000)</f>
        <v/>
      </c>
      <c r="G810" s="23" t="n"/>
      <c r="H810" s="56">
        <f>IF(I810&lt;&gt;"",I810,IF(G810="","",IF(ROUND(MOD(G810,1),1)&lt;=0.4,INT(G810)-1,INT(G810))))</f>
        <v/>
      </c>
      <c r="I810" s="56" t="n"/>
      <c r="J810" s="57">
        <f>IF(H810="","",IF(LOWER(A810)="gl",H810-2,IF(H810&gt;=60,H810-5,IF(AND(H810&gt;=50,H810&lt;60),H810-4,IF(AND(H810&gt;=10,H810&lt;50),H810-3,H810)))))</f>
        <v/>
      </c>
      <c r="K810" s="57" t="n"/>
    </row>
    <row r="811" ht="15" customHeight="1">
      <c r="A811" s="10" t="n"/>
      <c r="B811" s="2" t="n">
        <v>808</v>
      </c>
      <c r="C811" s="3" t="n"/>
      <c r="D811" s="3" t="n"/>
      <c r="E811" s="2" t="n"/>
      <c r="F811" s="5">
        <f>IF(E811="","",E811*1000)</f>
        <v/>
      </c>
      <c r="G811" s="23" t="n"/>
      <c r="H811" s="56">
        <f>IF(I811&lt;&gt;"",I811,IF(G811="","",IF(ROUND(MOD(G811,1),1)&lt;=0.4,INT(G811)-1,INT(G811))))</f>
        <v/>
      </c>
      <c r="I811" s="56" t="n"/>
      <c r="J811" s="57">
        <f>IF(H811="","",IF(LOWER(A811)="gl",H811-2,IF(H811&gt;=60,H811-5,IF(AND(H811&gt;=50,H811&lt;60),H811-4,IF(AND(H811&gt;=10,H811&lt;50),H811-3,H811)))))</f>
        <v/>
      </c>
      <c r="K811" s="57" t="n"/>
    </row>
    <row r="812" ht="15" customHeight="1">
      <c r="A812" s="10" t="n"/>
      <c r="B812" s="2" t="n">
        <v>809</v>
      </c>
      <c r="C812" s="3" t="n"/>
      <c r="D812" s="3" t="n"/>
      <c r="E812" s="2" t="n"/>
      <c r="F812" s="5">
        <f>IF(E812="","",E812*1000)</f>
        <v/>
      </c>
      <c r="G812" s="23" t="n"/>
      <c r="H812" s="56">
        <f>IF(I812&lt;&gt;"",I812,IF(G812="","",IF(ROUND(MOD(G812,1),1)&lt;=0.4,INT(G812)-1,INT(G812))))</f>
        <v/>
      </c>
      <c r="I812" s="56" t="n"/>
      <c r="J812" s="57">
        <f>IF(H812="","",IF(LOWER(A812)="gl",H812-2,IF(H812&gt;=60,H812-5,IF(AND(H812&gt;=50,H812&lt;60),H812-4,IF(AND(H812&gt;=10,H812&lt;50),H812-3,H812)))))</f>
        <v/>
      </c>
      <c r="K812" s="57" t="n"/>
    </row>
    <row r="813" ht="15" customHeight="1">
      <c r="A813" s="10" t="n"/>
      <c r="B813" s="2" t="n">
        <v>810</v>
      </c>
      <c r="C813" s="3" t="n"/>
      <c r="D813" s="3" t="n"/>
      <c r="E813" s="2" t="n"/>
      <c r="F813" s="5">
        <f>IF(E813="","",E813*1000)</f>
        <v/>
      </c>
      <c r="G813" s="23" t="n"/>
      <c r="H813" s="56">
        <f>IF(I813&lt;&gt;"",I813,IF(G813="","",IF(ROUND(MOD(G813,1),1)&lt;=0.4,INT(G813)-1,INT(G813))))</f>
        <v/>
      </c>
      <c r="I813" s="56" t="n"/>
      <c r="J813" s="57">
        <f>IF(H813="","",IF(LOWER(A813)="gl",H813-2,IF(H813&gt;=60,H813-5,IF(AND(H813&gt;=50,H813&lt;60),H813-4,IF(AND(H813&gt;=10,H813&lt;50),H813-3,H813)))))</f>
        <v/>
      </c>
      <c r="K813" s="57" t="n"/>
    </row>
    <row r="814" ht="15" customHeight="1">
      <c r="A814" s="10" t="n"/>
      <c r="B814" s="2" t="n">
        <v>811</v>
      </c>
      <c r="C814" s="3" t="n"/>
      <c r="D814" s="3" t="n"/>
      <c r="E814" s="2" t="n"/>
      <c r="F814" s="5">
        <f>IF(E814="","",E814*1000)</f>
        <v/>
      </c>
      <c r="G814" s="23" t="n"/>
      <c r="H814" s="56">
        <f>IF(I814&lt;&gt;"",I814,IF(G814="","",IF(ROUND(MOD(G814,1),1)&lt;=0.4,INT(G814)-1,INT(G814))))</f>
        <v/>
      </c>
      <c r="I814" s="56" t="n"/>
      <c r="J814" s="57">
        <f>IF(H814="","",IF(LOWER(A814)="gl",H814-2,IF(H814&gt;=60,H814-5,IF(AND(H814&gt;=50,H814&lt;60),H814-4,IF(AND(H814&gt;=10,H814&lt;50),H814-3,H814)))))</f>
        <v/>
      </c>
      <c r="K814" s="57" t="n"/>
    </row>
    <row r="815" ht="15" customHeight="1">
      <c r="A815" s="10" t="n"/>
      <c r="B815" s="2" t="n">
        <v>812</v>
      </c>
      <c r="C815" s="3" t="n"/>
      <c r="D815" s="3" t="n"/>
      <c r="E815" s="2" t="n"/>
      <c r="F815" s="5">
        <f>IF(E815="","",E815*1000)</f>
        <v/>
      </c>
      <c r="G815" s="23" t="n"/>
      <c r="H815" s="56">
        <f>IF(I815&lt;&gt;"",I815,IF(G815="","",IF(ROUND(MOD(G815,1),1)&lt;=0.4,INT(G815)-1,INT(G815))))</f>
        <v/>
      </c>
      <c r="I815" s="56" t="n"/>
      <c r="J815" s="57">
        <f>IF(H815="","",IF(LOWER(A815)="gl",H815-2,IF(H815&gt;=60,H815-5,IF(AND(H815&gt;=50,H815&lt;60),H815-4,IF(AND(H815&gt;=10,H815&lt;50),H815-3,H815)))))</f>
        <v/>
      </c>
      <c r="K815" s="57" t="n"/>
    </row>
    <row r="816" ht="15" customHeight="1">
      <c r="A816" s="10" t="n"/>
      <c r="B816" s="2" t="n">
        <v>813</v>
      </c>
      <c r="C816" s="3" t="n"/>
      <c r="D816" s="3" t="n"/>
      <c r="E816" s="2" t="n"/>
      <c r="F816" s="5">
        <f>IF(E816="","",E816*1000)</f>
        <v/>
      </c>
      <c r="G816" s="23" t="n"/>
      <c r="H816" s="56">
        <f>IF(I816&lt;&gt;"",I816,IF(G816="","",IF(ROUND(MOD(G816,1),1)&lt;=0.4,INT(G816)-1,INT(G816))))</f>
        <v/>
      </c>
      <c r="I816" s="56" t="n"/>
      <c r="J816" s="57">
        <f>IF(H816="","",IF(LOWER(A816)="gl",H816-2,IF(H816&gt;=60,H816-5,IF(AND(H816&gt;=50,H816&lt;60),H816-4,IF(AND(H816&gt;=10,H816&lt;50),H816-3,H816)))))</f>
        <v/>
      </c>
      <c r="K816" s="57" t="n"/>
    </row>
    <row r="817" ht="15" customHeight="1">
      <c r="A817" s="10" t="n"/>
      <c r="B817" s="2" t="n">
        <v>814</v>
      </c>
      <c r="C817" s="3" t="n"/>
      <c r="D817" s="3" t="n"/>
      <c r="E817" s="2" t="n"/>
      <c r="F817" s="5">
        <f>IF(E817="","",E817*1000)</f>
        <v/>
      </c>
      <c r="G817" s="23" t="n"/>
      <c r="H817" s="56">
        <f>IF(I817&lt;&gt;"",I817,IF(G817="","",IF(ROUND(MOD(G817,1),1)&lt;=0.4,INT(G817)-1,INT(G817))))</f>
        <v/>
      </c>
      <c r="I817" s="56" t="n"/>
      <c r="J817" s="57">
        <f>IF(H817="","",IF(LOWER(A817)="gl",H817-2,IF(H817&gt;=60,H817-5,IF(AND(H817&gt;=50,H817&lt;60),H817-4,IF(AND(H817&gt;=10,H817&lt;50),H817-3,H817)))))</f>
        <v/>
      </c>
      <c r="K817" s="57" t="n"/>
    </row>
    <row r="818" ht="15" customHeight="1">
      <c r="A818" s="10" t="n"/>
      <c r="B818" s="2" t="n">
        <v>815</v>
      </c>
      <c r="C818" s="3" t="n"/>
      <c r="D818" s="3" t="n"/>
      <c r="E818" s="2" t="n"/>
      <c r="F818" s="5">
        <f>IF(E818="","",E818*1000)</f>
        <v/>
      </c>
      <c r="G818" s="23" t="n"/>
      <c r="H818" s="56">
        <f>IF(I818&lt;&gt;"",I818,IF(G818="","",IF(ROUND(MOD(G818,1),1)&lt;=0.4,INT(G818)-1,INT(G818))))</f>
        <v/>
      </c>
      <c r="I818" s="56" t="n"/>
      <c r="J818" s="57">
        <f>IF(H818="","",IF(LOWER(A818)="gl",H818-2,IF(H818&gt;=60,H818-5,IF(AND(H818&gt;=50,H818&lt;60),H818-4,IF(AND(H818&gt;=10,H818&lt;50),H818-3,H818)))))</f>
        <v/>
      </c>
      <c r="K818" s="57" t="n"/>
    </row>
    <row r="819" ht="15" customHeight="1">
      <c r="A819" s="10" t="n"/>
      <c r="B819" s="2" t="n">
        <v>816</v>
      </c>
      <c r="C819" s="3" t="n"/>
      <c r="D819" s="3" t="n"/>
      <c r="E819" s="2" t="n"/>
      <c r="F819" s="5">
        <f>IF(E819="","",E819*1000)</f>
        <v/>
      </c>
      <c r="G819" s="23" t="n"/>
      <c r="H819" s="56">
        <f>IF(I819&lt;&gt;"",I819,IF(G819="","",IF(ROUND(MOD(G819,1),1)&lt;=0.4,INT(G819)-1,INT(G819))))</f>
        <v/>
      </c>
      <c r="I819" s="56" t="n"/>
      <c r="J819" s="57">
        <f>IF(H819="","",IF(LOWER(A819)="gl",H819-2,IF(H819&gt;=60,H819-5,IF(AND(H819&gt;=50,H819&lt;60),H819-4,IF(AND(H819&gt;=10,H819&lt;50),H819-3,H819)))))</f>
        <v/>
      </c>
      <c r="K819" s="57" t="n"/>
    </row>
    <row r="820" ht="15" customHeight="1">
      <c r="A820" s="10" t="n"/>
      <c r="B820" s="2" t="n">
        <v>817</v>
      </c>
      <c r="C820" s="3" t="n"/>
      <c r="D820" s="3" t="n"/>
      <c r="E820" s="2" t="n"/>
      <c r="F820" s="5">
        <f>IF(E820="","",E820*1000)</f>
        <v/>
      </c>
      <c r="G820" s="23" t="n"/>
      <c r="H820" s="56">
        <f>IF(I820&lt;&gt;"",I820,IF(G820="","",IF(ROUND(MOD(G820,1),1)&lt;=0.4,INT(G820)-1,INT(G820))))</f>
        <v/>
      </c>
      <c r="I820" s="56" t="n"/>
      <c r="J820" s="57">
        <f>IF(H820="","",IF(LOWER(A820)="gl",H820-2,IF(H820&gt;=60,H820-5,IF(AND(H820&gt;=50,H820&lt;60),H820-4,IF(AND(H820&gt;=10,H820&lt;50),H820-3,H820)))))</f>
        <v/>
      </c>
      <c r="K820" s="57" t="n"/>
    </row>
    <row r="821" ht="15" customHeight="1">
      <c r="A821" s="10" t="n"/>
      <c r="B821" s="2" t="n">
        <v>818</v>
      </c>
      <c r="C821" s="3" t="n"/>
      <c r="D821" s="3" t="n"/>
      <c r="E821" s="2" t="n"/>
      <c r="F821" s="5">
        <f>IF(E821="","",E821*1000)</f>
        <v/>
      </c>
      <c r="G821" s="23" t="n"/>
      <c r="H821" s="56">
        <f>IF(I821&lt;&gt;"",I821,IF(G821="","",IF(ROUND(MOD(G821,1),1)&lt;=0.4,INT(G821)-1,INT(G821))))</f>
        <v/>
      </c>
      <c r="I821" s="56" t="n"/>
      <c r="J821" s="57">
        <f>IF(H821="","",IF(LOWER(A821)="gl",H821-2,IF(H821&gt;=60,H821-5,IF(AND(H821&gt;=50,H821&lt;60),H821-4,IF(AND(H821&gt;=10,H821&lt;50),H821-3,H821)))))</f>
        <v/>
      </c>
      <c r="K821" s="57" t="n"/>
    </row>
    <row r="822" ht="15" customHeight="1">
      <c r="A822" s="10" t="n"/>
      <c r="B822" s="2" t="n">
        <v>819</v>
      </c>
      <c r="C822" s="3" t="n"/>
      <c r="D822" s="3" t="n"/>
      <c r="E822" s="2" t="n"/>
      <c r="F822" s="5">
        <f>IF(E822="","",E822*1000)</f>
        <v/>
      </c>
      <c r="G822" s="23" t="n"/>
      <c r="H822" s="56">
        <f>IF(I822&lt;&gt;"",I822,IF(G822="","",IF(ROUND(MOD(G822,1),1)&lt;=0.4,INT(G822)-1,INT(G822))))</f>
        <v/>
      </c>
      <c r="I822" s="56" t="n"/>
      <c r="J822" s="57">
        <f>IF(H822="","",IF(LOWER(A822)="gl",H822-2,IF(H822&gt;=60,H822-5,IF(AND(H822&gt;=50,H822&lt;60),H822-4,IF(AND(H822&gt;=10,H822&lt;50),H822-3,H822)))))</f>
        <v/>
      </c>
      <c r="K822" s="57" t="n"/>
    </row>
    <row r="823" ht="15" customHeight="1">
      <c r="A823" s="10" t="n"/>
      <c r="B823" s="2" t="n">
        <v>820</v>
      </c>
      <c r="C823" s="3" t="n"/>
      <c r="D823" s="3" t="n"/>
      <c r="E823" s="2" t="n"/>
      <c r="F823" s="5">
        <f>IF(E823="","",E823*1000)</f>
        <v/>
      </c>
      <c r="G823" s="23" t="n"/>
      <c r="H823" s="56">
        <f>IF(I823&lt;&gt;"",I823,IF(G823="","",IF(ROUND(MOD(G823,1),1)&lt;=0.4,INT(G823)-1,INT(G823))))</f>
        <v/>
      </c>
      <c r="I823" s="56" t="n"/>
      <c r="J823" s="57">
        <f>IF(H823="","",IF(LOWER(A823)="gl",H823-2,IF(H823&gt;=60,H823-5,IF(AND(H823&gt;=50,H823&lt;60),H823-4,IF(AND(H823&gt;=10,H823&lt;50),H823-3,H823)))))</f>
        <v/>
      </c>
      <c r="K823" s="57" t="n"/>
    </row>
    <row r="824" ht="15" customHeight="1">
      <c r="A824" s="10" t="n"/>
      <c r="B824" s="2" t="n">
        <v>821</v>
      </c>
      <c r="C824" s="3" t="n"/>
      <c r="D824" s="3" t="n"/>
      <c r="E824" s="2" t="n"/>
      <c r="F824" s="5">
        <f>IF(E824="","",E824*1000)</f>
        <v/>
      </c>
      <c r="G824" s="23" t="n"/>
      <c r="H824" s="56">
        <f>IF(I824&lt;&gt;"",I824,IF(G824="","",IF(ROUND(MOD(G824,1),1)&lt;=0.4,INT(G824)-1,INT(G824))))</f>
        <v/>
      </c>
      <c r="I824" s="56" t="n"/>
      <c r="J824" s="57">
        <f>IF(H824="","",IF(LOWER(A824)="gl",H824-2,IF(H824&gt;=60,H824-5,IF(AND(H824&gt;=50,H824&lt;60),H824-4,IF(AND(H824&gt;=10,H824&lt;50),H824-3,H824)))))</f>
        <v/>
      </c>
      <c r="K824" s="57" t="n"/>
    </row>
    <row r="825" ht="15" customHeight="1">
      <c r="A825" s="10" t="n"/>
      <c r="B825" s="2" t="n">
        <v>822</v>
      </c>
      <c r="C825" s="3" t="n"/>
      <c r="D825" s="3" t="n"/>
      <c r="E825" s="2" t="n"/>
      <c r="F825" s="5">
        <f>IF(E825="","",E825*1000)</f>
        <v/>
      </c>
      <c r="G825" s="23" t="n"/>
      <c r="H825" s="56">
        <f>IF(I825&lt;&gt;"",I825,IF(G825="","",IF(ROUND(MOD(G825,1),1)&lt;=0.4,INT(G825)-1,INT(G825))))</f>
        <v/>
      </c>
      <c r="I825" s="56" t="n"/>
      <c r="J825" s="57">
        <f>IF(H825="","",IF(LOWER(A825)="gl",H825-2,IF(H825&gt;=60,H825-5,IF(AND(H825&gt;=50,H825&lt;60),H825-4,IF(AND(H825&gt;=10,H825&lt;50),H825-3,H825)))))</f>
        <v/>
      </c>
      <c r="K825" s="57" t="n"/>
    </row>
    <row r="826" ht="15" customHeight="1">
      <c r="A826" s="10" t="n"/>
      <c r="B826" s="2" t="n">
        <v>823</v>
      </c>
      <c r="C826" s="3" t="n"/>
      <c r="D826" s="3" t="n"/>
      <c r="E826" s="2" t="n"/>
      <c r="F826" s="5">
        <f>IF(E826="","",E826*1000)</f>
        <v/>
      </c>
      <c r="G826" s="23" t="n"/>
      <c r="H826" s="56">
        <f>IF(I826&lt;&gt;"",I826,IF(G826="","",IF(ROUND(MOD(G826,1),1)&lt;=0.4,INT(G826)-1,INT(G826))))</f>
        <v/>
      </c>
      <c r="I826" s="56" t="n"/>
      <c r="J826" s="57">
        <f>IF(H826="","",IF(LOWER(A826)="gl",H826-2,IF(H826&gt;=60,H826-5,IF(AND(H826&gt;=50,H826&lt;60),H826-4,IF(AND(H826&gt;=10,H826&lt;50),H826-3,H826)))))</f>
        <v/>
      </c>
      <c r="K826" s="57" t="n"/>
    </row>
    <row r="827" ht="15" customHeight="1">
      <c r="A827" s="10" t="n"/>
      <c r="B827" s="2" t="n">
        <v>824</v>
      </c>
      <c r="C827" s="3" t="n"/>
      <c r="D827" s="3" t="n"/>
      <c r="E827" s="2" t="n"/>
      <c r="F827" s="5">
        <f>IF(E827="","",E827*1000)</f>
        <v/>
      </c>
      <c r="G827" s="23" t="n"/>
      <c r="H827" s="56">
        <f>IF(I827&lt;&gt;"",I827,IF(G827="","",IF(ROUND(MOD(G827,1),1)&lt;=0.4,INT(G827)-1,INT(G827))))</f>
        <v/>
      </c>
      <c r="I827" s="56" t="n"/>
      <c r="J827" s="57">
        <f>IF(H827="","",IF(LOWER(A827)="gl",H827-2,IF(H827&gt;=60,H827-5,IF(AND(H827&gt;=50,H827&lt;60),H827-4,IF(AND(H827&gt;=10,H827&lt;50),H827-3,H827)))))</f>
        <v/>
      </c>
      <c r="K827" s="57" t="n"/>
    </row>
    <row r="828" ht="15" customHeight="1">
      <c r="A828" s="10" t="n"/>
      <c r="B828" s="2" t="n">
        <v>825</v>
      </c>
      <c r="C828" s="3" t="n"/>
      <c r="D828" s="3" t="n"/>
      <c r="E828" s="2" t="n"/>
      <c r="F828" s="5">
        <f>IF(E828="","",E828*1000)</f>
        <v/>
      </c>
      <c r="G828" s="23" t="n"/>
      <c r="H828" s="56">
        <f>IF(I828&lt;&gt;"",I828,IF(G828="","",IF(ROUND(MOD(G828,1),1)&lt;=0.4,INT(G828)-1,INT(G828))))</f>
        <v/>
      </c>
      <c r="I828" s="56" t="n"/>
      <c r="J828" s="57">
        <f>IF(H828="","",IF(LOWER(A828)="gl",H828-2,IF(H828&gt;=60,H828-5,IF(AND(H828&gt;=50,H828&lt;60),H828-4,IF(AND(H828&gt;=10,H828&lt;50),H828-3,H828)))))</f>
        <v/>
      </c>
      <c r="K828" s="57" t="n"/>
    </row>
    <row r="829" ht="15" customHeight="1">
      <c r="A829" s="10" t="n"/>
      <c r="B829" s="2" t="n">
        <v>826</v>
      </c>
      <c r="C829" s="3" t="n"/>
      <c r="D829" s="3" t="n"/>
      <c r="E829" s="2" t="n"/>
      <c r="F829" s="5">
        <f>IF(E829="","",E829*1000)</f>
        <v/>
      </c>
      <c r="G829" s="23" t="n"/>
      <c r="H829" s="56">
        <f>IF(I829&lt;&gt;"",I829,IF(G829="","",IF(ROUND(MOD(G829,1),1)&lt;=0.4,INT(G829)-1,INT(G829))))</f>
        <v/>
      </c>
      <c r="I829" s="56" t="n"/>
      <c r="J829" s="57">
        <f>IF(H829="","",IF(LOWER(A829)="gl",H829-2,IF(H829&gt;=60,H829-5,IF(AND(H829&gt;=50,H829&lt;60),H829-4,IF(AND(H829&gt;=10,H829&lt;50),H829-3,H829)))))</f>
        <v/>
      </c>
      <c r="K829" s="57" t="n"/>
    </row>
    <row r="830" ht="15" customHeight="1">
      <c r="A830" s="10" t="n"/>
      <c r="B830" s="2" t="n">
        <v>827</v>
      </c>
      <c r="C830" s="3" t="n"/>
      <c r="D830" s="3" t="n"/>
      <c r="E830" s="2" t="n"/>
      <c r="F830" s="5">
        <f>IF(E830="","",E830*1000)</f>
        <v/>
      </c>
      <c r="G830" s="23" t="n"/>
      <c r="H830" s="56">
        <f>IF(I830&lt;&gt;"",I830,IF(G830="","",IF(ROUND(MOD(G830,1),1)&lt;=0.4,INT(G830)-1,INT(G830))))</f>
        <v/>
      </c>
      <c r="I830" s="56" t="n"/>
      <c r="J830" s="57">
        <f>IF(H830="","",IF(LOWER(A830)="gl",H830-2,IF(H830&gt;=60,H830-5,IF(AND(H830&gt;=50,H830&lt;60),H830-4,IF(AND(H830&gt;=10,H830&lt;50),H830-3,H830)))))</f>
        <v/>
      </c>
      <c r="K830" s="57" t="n"/>
    </row>
    <row r="831" ht="15" customHeight="1">
      <c r="A831" s="10" t="n"/>
      <c r="B831" s="2" t="n">
        <v>828</v>
      </c>
      <c r="C831" s="3" t="n"/>
      <c r="D831" s="3" t="n"/>
      <c r="E831" s="2" t="n"/>
      <c r="F831" s="5">
        <f>IF(E831="","",E831*1000)</f>
        <v/>
      </c>
      <c r="G831" s="23" t="n"/>
      <c r="H831" s="56">
        <f>IF(I831&lt;&gt;"",I831,IF(G831="","",IF(ROUND(MOD(G831,1),1)&lt;=0.4,INT(G831)-1,INT(G831))))</f>
        <v/>
      </c>
      <c r="I831" s="56" t="n"/>
      <c r="J831" s="57">
        <f>IF(H831="","",IF(LOWER(A831)="gl",H831-2,IF(H831&gt;=60,H831-5,IF(AND(H831&gt;=50,H831&lt;60),H831-4,IF(AND(H831&gt;=10,H831&lt;50),H831-3,H831)))))</f>
        <v/>
      </c>
      <c r="K831" s="57" t="n"/>
    </row>
    <row r="832" ht="15" customHeight="1">
      <c r="A832" s="10" t="n"/>
      <c r="B832" s="2" t="n">
        <v>829</v>
      </c>
      <c r="C832" s="3" t="n"/>
      <c r="D832" s="3" t="n"/>
      <c r="E832" s="2" t="n"/>
      <c r="F832" s="5">
        <f>IF(E832="","",E832*1000)</f>
        <v/>
      </c>
      <c r="G832" s="23" t="n"/>
      <c r="H832" s="56">
        <f>IF(I832&lt;&gt;"",I832,IF(G832="","",IF(ROUND(MOD(G832,1),1)&lt;=0.4,INT(G832)-1,INT(G832))))</f>
        <v/>
      </c>
      <c r="I832" s="56" t="n"/>
      <c r="J832" s="57">
        <f>IF(H832="","",IF(LOWER(A832)="gl",H832-2,IF(H832&gt;=60,H832-5,IF(AND(H832&gt;=50,H832&lt;60),H832-4,IF(AND(H832&gt;=10,H832&lt;50),H832-3,H832)))))</f>
        <v/>
      </c>
      <c r="K832" s="57" t="n"/>
    </row>
    <row r="833" ht="15" customHeight="1">
      <c r="A833" s="10" t="n"/>
      <c r="B833" s="2" t="n">
        <v>830</v>
      </c>
      <c r="C833" s="3" t="n"/>
      <c r="D833" s="3" t="n"/>
      <c r="E833" s="2" t="n"/>
      <c r="F833" s="5">
        <f>IF(E833="","",E833*1000)</f>
        <v/>
      </c>
      <c r="G833" s="23" t="n"/>
      <c r="H833" s="56">
        <f>IF(I833&lt;&gt;"",I833,IF(G833="","",IF(ROUND(MOD(G833,1),1)&lt;=0.4,INT(G833)-1,INT(G833))))</f>
        <v/>
      </c>
      <c r="I833" s="56" t="n"/>
      <c r="J833" s="57">
        <f>IF(H833="","",IF(LOWER(A833)="gl",H833-2,IF(H833&gt;=60,H833-5,IF(AND(H833&gt;=50,H833&lt;60),H833-4,IF(AND(H833&gt;=10,H833&lt;50),H833-3,H833)))))</f>
        <v/>
      </c>
      <c r="K833" s="57" t="n"/>
    </row>
    <row r="834" ht="15" customHeight="1">
      <c r="A834" s="10" t="n"/>
      <c r="B834" s="2" t="n">
        <v>831</v>
      </c>
      <c r="C834" s="3" t="n"/>
      <c r="D834" s="3" t="n"/>
      <c r="E834" s="2" t="n"/>
      <c r="F834" s="5">
        <f>IF(E834="","",E834*1000)</f>
        <v/>
      </c>
      <c r="G834" s="23" t="n"/>
      <c r="H834" s="56">
        <f>IF(I834&lt;&gt;"",I834,IF(G834="","",IF(ROUND(MOD(G834,1),1)&lt;=0.4,INT(G834)-1,INT(G834))))</f>
        <v/>
      </c>
      <c r="I834" s="56" t="n"/>
      <c r="J834" s="57">
        <f>IF(H834="","",IF(LOWER(A834)="gl",H834-2,IF(H834&gt;=60,H834-5,IF(AND(H834&gt;=50,H834&lt;60),H834-4,IF(AND(H834&gt;=10,H834&lt;50),H834-3,H834)))))</f>
        <v/>
      </c>
      <c r="K834" s="57" t="n"/>
    </row>
    <row r="835" ht="15" customHeight="1">
      <c r="A835" s="10" t="n"/>
      <c r="B835" s="2" t="n">
        <v>832</v>
      </c>
      <c r="C835" s="3" t="n"/>
      <c r="D835" s="3" t="n"/>
      <c r="E835" s="2" t="n"/>
      <c r="F835" s="5">
        <f>IF(E835="","",E835*1000)</f>
        <v/>
      </c>
      <c r="G835" s="23" t="n"/>
      <c r="H835" s="56">
        <f>IF(I835&lt;&gt;"",I835,IF(G835="","",IF(ROUND(MOD(G835,1),1)&lt;=0.4,INT(G835)-1,INT(G835))))</f>
        <v/>
      </c>
      <c r="I835" s="56" t="n"/>
      <c r="J835" s="57">
        <f>IF(H835="","",IF(LOWER(A835)="gl",H835-2,IF(H835&gt;=60,H835-5,IF(AND(H835&gt;=50,H835&lt;60),H835-4,IF(AND(H835&gt;=10,H835&lt;50),H835-3,H835)))))</f>
        <v/>
      </c>
      <c r="K835" s="57" t="n"/>
    </row>
    <row r="836" ht="15" customHeight="1">
      <c r="A836" s="10" t="n"/>
      <c r="B836" s="2" t="n">
        <v>833</v>
      </c>
      <c r="C836" s="3" t="n"/>
      <c r="D836" s="3" t="n"/>
      <c r="E836" s="2" t="n"/>
      <c r="F836" s="5">
        <f>IF(E836="","",E836*1000)</f>
        <v/>
      </c>
      <c r="G836" s="23" t="n"/>
      <c r="H836" s="56">
        <f>IF(I836&lt;&gt;"",I836,IF(G836="","",IF(ROUND(MOD(G836,1),1)&lt;=0.4,INT(G836)-1,INT(G836))))</f>
        <v/>
      </c>
      <c r="I836" s="56" t="n"/>
      <c r="J836" s="57">
        <f>IF(H836="","",IF(LOWER(A836)="gl",H836-2,IF(H836&gt;=60,H836-5,IF(AND(H836&gt;=50,H836&lt;60),H836-4,IF(AND(H836&gt;=10,H836&lt;50),H836-3,H836)))))</f>
        <v/>
      </c>
      <c r="K836" s="57" t="n"/>
    </row>
    <row r="837" ht="15" customHeight="1">
      <c r="A837" s="10" t="n"/>
      <c r="B837" s="2" t="n">
        <v>834</v>
      </c>
      <c r="C837" s="3" t="n"/>
      <c r="D837" s="3" t="n"/>
      <c r="E837" s="2" t="n"/>
      <c r="F837" s="5">
        <f>IF(E837="","",E837*1000)</f>
        <v/>
      </c>
      <c r="G837" s="23" t="n"/>
      <c r="H837" s="56">
        <f>IF(I837&lt;&gt;"",I837,IF(G837="","",IF(ROUND(MOD(G837,1),1)&lt;=0.4,INT(G837)-1,INT(G837))))</f>
        <v/>
      </c>
      <c r="I837" s="56" t="n"/>
      <c r="J837" s="57">
        <f>IF(H837="","",IF(LOWER(A837)="gl",H837-2,IF(H837&gt;=60,H837-5,IF(AND(H837&gt;=50,H837&lt;60),H837-4,IF(AND(H837&gt;=10,H837&lt;50),H837-3,H837)))))</f>
        <v/>
      </c>
      <c r="K837" s="57" t="n"/>
    </row>
    <row r="838" ht="15" customHeight="1">
      <c r="A838" s="10" t="n"/>
      <c r="B838" s="2" t="n">
        <v>835</v>
      </c>
      <c r="C838" s="3" t="n"/>
      <c r="D838" s="3" t="n"/>
      <c r="E838" s="2" t="n"/>
      <c r="F838" s="5">
        <f>IF(E838="","",E838*1000)</f>
        <v/>
      </c>
      <c r="G838" s="23" t="n"/>
      <c r="H838" s="56">
        <f>IF(I838&lt;&gt;"",I838,IF(G838="","",IF(ROUND(MOD(G838,1),1)&lt;=0.4,INT(G838)-1,INT(G838))))</f>
        <v/>
      </c>
      <c r="I838" s="56" t="n"/>
      <c r="J838" s="57">
        <f>IF(H838="","",IF(LOWER(A838)="gl",H838-2,IF(H838&gt;=60,H838-5,IF(AND(H838&gt;=50,H838&lt;60),H838-4,IF(AND(H838&gt;=10,H838&lt;50),H838-3,H838)))))</f>
        <v/>
      </c>
      <c r="K838" s="57" t="n"/>
    </row>
    <row r="839" ht="15" customHeight="1">
      <c r="A839" s="10" t="n"/>
      <c r="B839" s="2" t="n">
        <v>836</v>
      </c>
      <c r="C839" s="3" t="n"/>
      <c r="D839" s="3" t="n"/>
      <c r="E839" s="2" t="n"/>
      <c r="F839" s="5">
        <f>IF(E839="","",E839*1000)</f>
        <v/>
      </c>
      <c r="G839" s="23" t="n"/>
      <c r="H839" s="56">
        <f>IF(I839&lt;&gt;"",I839,IF(G839="","",IF(ROUND(MOD(G839,1),1)&lt;=0.4,INT(G839)-1,INT(G839))))</f>
        <v/>
      </c>
      <c r="I839" s="56" t="n"/>
      <c r="J839" s="57">
        <f>IF(H839="","",IF(LOWER(A839)="gl",H839-2,IF(H839&gt;=60,H839-5,IF(AND(H839&gt;=50,H839&lt;60),H839-4,IF(AND(H839&gt;=10,H839&lt;50),H839-3,H839)))))</f>
        <v/>
      </c>
      <c r="K839" s="57" t="n"/>
    </row>
    <row r="840" ht="15" customHeight="1">
      <c r="A840" s="10" t="n"/>
      <c r="B840" s="2" t="n">
        <v>837</v>
      </c>
      <c r="C840" s="3" t="n"/>
      <c r="D840" s="3" t="n"/>
      <c r="E840" s="2" t="n"/>
      <c r="F840" s="5">
        <f>IF(E840="","",E840*1000)</f>
        <v/>
      </c>
      <c r="G840" s="23" t="n"/>
      <c r="H840" s="56">
        <f>IF(I840&lt;&gt;"",I840,IF(G840="","",IF(ROUND(MOD(G840,1),1)&lt;=0.4,INT(G840)-1,INT(G840))))</f>
        <v/>
      </c>
      <c r="I840" s="56" t="n"/>
      <c r="J840" s="57">
        <f>IF(H840="","",IF(LOWER(A840)="gl",H840-2,IF(H840&gt;=60,H840-5,IF(AND(H840&gt;=50,H840&lt;60),H840-4,IF(AND(H840&gt;=10,H840&lt;50),H840-3,H840)))))</f>
        <v/>
      </c>
      <c r="K840" s="57" t="n"/>
    </row>
    <row r="841" ht="15" customHeight="1">
      <c r="A841" s="10" t="n"/>
      <c r="B841" s="2" t="n">
        <v>838</v>
      </c>
      <c r="C841" s="3" t="n"/>
      <c r="D841" s="3" t="n"/>
      <c r="E841" s="2" t="n"/>
      <c r="F841" s="5">
        <f>IF(E841="","",E841*1000)</f>
        <v/>
      </c>
      <c r="G841" s="23" t="n"/>
      <c r="H841" s="56">
        <f>IF(I841&lt;&gt;"",I841,IF(G841="","",IF(ROUND(MOD(G841,1),1)&lt;=0.4,INT(G841)-1,INT(G841))))</f>
        <v/>
      </c>
      <c r="I841" s="56" t="n"/>
      <c r="J841" s="57">
        <f>IF(H841="","",IF(LOWER(A841)="gl",H841-2,IF(H841&gt;=60,H841-5,IF(AND(H841&gt;=50,H841&lt;60),H841-4,IF(AND(H841&gt;=10,H841&lt;50),H841-3,H841)))))</f>
        <v/>
      </c>
      <c r="K841" s="57" t="n"/>
    </row>
    <row r="842" ht="15" customHeight="1">
      <c r="A842" s="10" t="n"/>
      <c r="B842" s="2" t="n">
        <v>839</v>
      </c>
      <c r="C842" s="3" t="n"/>
      <c r="D842" s="3" t="n"/>
      <c r="E842" s="2" t="n"/>
      <c r="F842" s="5">
        <f>IF(E842="","",E842*1000)</f>
        <v/>
      </c>
      <c r="G842" s="23" t="n"/>
      <c r="H842" s="56">
        <f>IF(I842&lt;&gt;"",I842,IF(G842="","",IF(ROUND(MOD(G842,1),1)&lt;=0.4,INT(G842)-1,INT(G842))))</f>
        <v/>
      </c>
      <c r="I842" s="56" t="n"/>
      <c r="J842" s="57">
        <f>IF(H842="","",IF(LOWER(A842)="gl",H842-2,IF(H842&gt;=60,H842-5,IF(AND(H842&gt;=50,H842&lt;60),H842-4,IF(AND(H842&gt;=10,H842&lt;50),H842-3,H842)))))</f>
        <v/>
      </c>
      <c r="K842" s="57" t="n"/>
    </row>
    <row r="843" ht="15" customHeight="1">
      <c r="A843" s="10" t="n"/>
      <c r="B843" s="2" t="n">
        <v>840</v>
      </c>
      <c r="C843" s="3" t="n"/>
      <c r="D843" s="3" t="n"/>
      <c r="E843" s="2" t="n"/>
      <c r="F843" s="5">
        <f>IF(E843="","",E843*1000)</f>
        <v/>
      </c>
      <c r="G843" s="23" t="n"/>
      <c r="H843" s="56">
        <f>IF(I843&lt;&gt;"",I843,IF(G843="","",IF(ROUND(MOD(G843,1),1)&lt;=0.4,INT(G843)-1,INT(G843))))</f>
        <v/>
      </c>
      <c r="I843" s="56" t="n"/>
      <c r="J843" s="57">
        <f>IF(H843="","",IF(LOWER(A843)="gl",H843-2,IF(H843&gt;=60,H843-5,IF(AND(H843&gt;=50,H843&lt;60),H843-4,IF(AND(H843&gt;=10,H843&lt;50),H843-3,H843)))))</f>
        <v/>
      </c>
      <c r="K843" s="57" t="n"/>
    </row>
    <row r="844" ht="15" customHeight="1">
      <c r="A844" s="10" t="n"/>
      <c r="B844" s="2" t="n">
        <v>841</v>
      </c>
      <c r="C844" s="3" t="n"/>
      <c r="D844" s="3" t="n"/>
      <c r="E844" s="2" t="n"/>
      <c r="F844" s="5">
        <f>IF(E844="","",E844*1000)</f>
        <v/>
      </c>
      <c r="G844" s="23" t="n"/>
      <c r="H844" s="56">
        <f>IF(I844&lt;&gt;"",I844,IF(G844="","",IF(ROUND(MOD(G844,1),1)&lt;=0.4,INT(G844)-1,INT(G844))))</f>
        <v/>
      </c>
      <c r="I844" s="56" t="n"/>
      <c r="J844" s="57">
        <f>IF(H844="","",IF(LOWER(A844)="gl",H844-2,IF(H844&gt;=60,H844-5,IF(AND(H844&gt;=50,H844&lt;60),H844-4,IF(AND(H844&gt;=10,H844&lt;50),H844-3,H844)))))</f>
        <v/>
      </c>
      <c r="K844" s="57" t="n"/>
    </row>
    <row r="845" ht="15" customHeight="1">
      <c r="A845" s="10" t="n"/>
      <c r="B845" s="2" t="n">
        <v>842</v>
      </c>
      <c r="C845" s="3" t="n"/>
      <c r="D845" s="3" t="n"/>
      <c r="E845" s="2" t="n"/>
      <c r="F845" s="5">
        <f>IF(E845="","",E845*1000)</f>
        <v/>
      </c>
      <c r="G845" s="23" t="n"/>
      <c r="H845" s="56">
        <f>IF(I845&lt;&gt;"",I845,IF(G845="","",IF(ROUND(MOD(G845,1),1)&lt;=0.4,INT(G845)-1,INT(G845))))</f>
        <v/>
      </c>
      <c r="I845" s="56" t="n"/>
      <c r="J845" s="57">
        <f>IF(H845="","",IF(LOWER(A845)="gl",H845-2,IF(H845&gt;=60,H845-5,IF(AND(H845&gt;=50,H845&lt;60),H845-4,IF(AND(H845&gt;=10,H845&lt;50),H845-3,H845)))))</f>
        <v/>
      </c>
      <c r="K845" s="57" t="n"/>
    </row>
    <row r="846" ht="15" customHeight="1">
      <c r="A846" s="10" t="n"/>
      <c r="B846" s="2" t="n">
        <v>843</v>
      </c>
      <c r="C846" s="3" t="n"/>
      <c r="D846" s="3" t="n"/>
      <c r="E846" s="2" t="n"/>
      <c r="F846" s="5">
        <f>IF(E846="","",E846*1000)</f>
        <v/>
      </c>
      <c r="G846" s="23" t="n"/>
      <c r="H846" s="56">
        <f>IF(I846&lt;&gt;"",I846,IF(G846="","",IF(ROUND(MOD(G846,1),1)&lt;=0.4,INT(G846)-1,INT(G846))))</f>
        <v/>
      </c>
      <c r="I846" s="56" t="n"/>
      <c r="J846" s="57">
        <f>IF(H846="","",IF(LOWER(A846)="gl",H846-2,IF(H846&gt;=60,H846-5,IF(AND(H846&gt;=50,H846&lt;60),H846-4,IF(AND(H846&gt;=10,H846&lt;50),H846-3,H846)))))</f>
        <v/>
      </c>
      <c r="K846" s="57" t="n"/>
    </row>
    <row r="847" ht="15" customHeight="1">
      <c r="A847" s="10" t="n"/>
      <c r="B847" s="2" t="n">
        <v>844</v>
      </c>
      <c r="C847" s="3" t="n"/>
      <c r="D847" s="3" t="n"/>
      <c r="E847" s="2" t="n"/>
      <c r="F847" s="5">
        <f>IF(E847="","",E847*1000)</f>
        <v/>
      </c>
      <c r="G847" s="23" t="n"/>
      <c r="H847" s="56">
        <f>IF(I847&lt;&gt;"",I847,IF(G847="","",IF(ROUND(MOD(G847,1),1)&lt;=0.4,INT(G847)-1,INT(G847))))</f>
        <v/>
      </c>
      <c r="I847" s="56" t="n"/>
      <c r="J847" s="57">
        <f>IF(H847="","",IF(LOWER(A847)="gl",H847-2,IF(H847&gt;=60,H847-5,IF(AND(H847&gt;=50,H847&lt;60),H847-4,IF(AND(H847&gt;=10,H847&lt;50),H847-3,H847)))))</f>
        <v/>
      </c>
      <c r="K847" s="57" t="n"/>
    </row>
    <row r="848" ht="15" customHeight="1">
      <c r="A848" s="10" t="n"/>
      <c r="B848" s="2" t="n">
        <v>845</v>
      </c>
      <c r="C848" s="3" t="n"/>
      <c r="D848" s="3" t="n"/>
      <c r="E848" s="2" t="n"/>
      <c r="F848" s="5">
        <f>IF(E848="","",E848*1000)</f>
        <v/>
      </c>
      <c r="G848" s="23" t="n"/>
      <c r="H848" s="56">
        <f>IF(I848&lt;&gt;"",I848,IF(G848="","",IF(ROUND(MOD(G848,1),1)&lt;=0.4,INT(G848)-1,INT(G848))))</f>
        <v/>
      </c>
      <c r="I848" s="56" t="n"/>
      <c r="J848" s="57">
        <f>IF(H848="","",IF(LOWER(A848)="gl",H848-2,IF(H848&gt;=60,H848-5,IF(AND(H848&gt;=50,H848&lt;60),H848-4,IF(AND(H848&gt;=10,H848&lt;50),H848-3,H848)))))</f>
        <v/>
      </c>
      <c r="K848" s="57" t="n"/>
    </row>
    <row r="849" ht="15" customHeight="1">
      <c r="A849" s="10" t="n"/>
      <c r="B849" s="2" t="n">
        <v>846</v>
      </c>
      <c r="C849" s="3" t="n"/>
      <c r="D849" s="3" t="n"/>
      <c r="E849" s="2" t="n"/>
      <c r="F849" s="5">
        <f>IF(E849="","",E849*1000)</f>
        <v/>
      </c>
      <c r="G849" s="23" t="n"/>
      <c r="H849" s="56">
        <f>IF(I849&lt;&gt;"",I849,IF(G849="","",IF(ROUND(MOD(G849,1),1)&lt;=0.4,INT(G849)-1,INT(G849))))</f>
        <v/>
      </c>
      <c r="I849" s="56" t="n"/>
      <c r="J849" s="57">
        <f>IF(H849="","",IF(LOWER(A849)="gl",H849-2,IF(H849&gt;=60,H849-5,IF(AND(H849&gt;=50,H849&lt;60),H849-4,IF(AND(H849&gt;=10,H849&lt;50),H849-3,H849)))))</f>
        <v/>
      </c>
      <c r="K849" s="57" t="n"/>
    </row>
    <row r="850" ht="15" customHeight="1">
      <c r="A850" s="10" t="n"/>
      <c r="B850" s="2" t="n">
        <v>847</v>
      </c>
      <c r="C850" s="3" t="n"/>
      <c r="D850" s="3" t="n"/>
      <c r="E850" s="2" t="n"/>
      <c r="F850" s="5">
        <f>IF(E850="","",E850*1000)</f>
        <v/>
      </c>
      <c r="G850" s="23" t="n"/>
      <c r="H850" s="56">
        <f>IF(I850&lt;&gt;"",I850,IF(G850="","",IF(ROUND(MOD(G850,1),1)&lt;=0.4,INT(G850)-1,INT(G850))))</f>
        <v/>
      </c>
      <c r="I850" s="56" t="n"/>
      <c r="J850" s="57">
        <f>IF(H850="","",IF(LOWER(A850)="gl",H850-2,IF(H850&gt;=60,H850-5,IF(AND(H850&gt;=50,H850&lt;60),H850-4,IF(AND(H850&gt;=10,H850&lt;50),H850-3,H850)))))</f>
        <v/>
      </c>
      <c r="K850" s="57" t="n"/>
    </row>
    <row r="851" ht="15" customHeight="1">
      <c r="A851" s="10" t="n"/>
      <c r="B851" s="2" t="n">
        <v>848</v>
      </c>
      <c r="C851" s="3" t="n"/>
      <c r="D851" s="3" t="n"/>
      <c r="E851" s="2" t="n"/>
      <c r="F851" s="5">
        <f>IF(E851="","",E851*1000)</f>
        <v/>
      </c>
      <c r="G851" s="23" t="n"/>
      <c r="H851" s="56">
        <f>IF(I851&lt;&gt;"",I851,IF(G851="","",IF(ROUND(MOD(G851,1),1)&lt;=0.4,INT(G851)-1,INT(G851))))</f>
        <v/>
      </c>
      <c r="I851" s="56" t="n"/>
      <c r="J851" s="57">
        <f>IF(H851="","",IF(LOWER(A851)="gl",H851-2,IF(H851&gt;=60,H851-5,IF(AND(H851&gt;=50,H851&lt;60),H851-4,IF(AND(H851&gt;=10,H851&lt;50),H851-3,H851)))))</f>
        <v/>
      </c>
      <c r="K851" s="57" t="n"/>
    </row>
    <row r="852" ht="15" customHeight="1">
      <c r="A852" s="10" t="n"/>
      <c r="B852" s="2" t="n">
        <v>849</v>
      </c>
      <c r="C852" s="3" t="n"/>
      <c r="D852" s="3" t="n"/>
      <c r="E852" s="2" t="n"/>
      <c r="F852" s="5">
        <f>IF(E852="","",E852*1000)</f>
        <v/>
      </c>
      <c r="G852" s="23" t="n"/>
      <c r="H852" s="56">
        <f>IF(I852&lt;&gt;"",I852,IF(G852="","",IF(ROUND(MOD(G852,1),1)&lt;=0.4,INT(G852)-1,INT(G852))))</f>
        <v/>
      </c>
      <c r="I852" s="56" t="n"/>
      <c r="J852" s="57">
        <f>IF(H852="","",IF(LOWER(A852)="gl",H852-2,IF(H852&gt;=60,H852-5,IF(AND(H852&gt;=50,H852&lt;60),H852-4,IF(AND(H852&gt;=10,H852&lt;50),H852-3,H852)))))</f>
        <v/>
      </c>
      <c r="K852" s="57" t="n"/>
    </row>
    <row r="853" ht="15" customHeight="1">
      <c r="A853" s="10" t="n"/>
      <c r="B853" s="2" t="n">
        <v>850</v>
      </c>
      <c r="C853" s="3" t="n"/>
      <c r="D853" s="3" t="n"/>
      <c r="E853" s="2" t="n"/>
      <c r="F853" s="5">
        <f>IF(E853="","",E853*1000)</f>
        <v/>
      </c>
      <c r="G853" s="23" t="n"/>
      <c r="H853" s="56">
        <f>IF(I853&lt;&gt;"",I853,IF(G853="","",IF(ROUND(MOD(G853,1),1)&lt;=0.4,INT(G853)-1,INT(G853))))</f>
        <v/>
      </c>
      <c r="I853" s="56" t="n"/>
      <c r="J853" s="57">
        <f>IF(H853="","",IF(LOWER(A853)="gl",H853-2,IF(H853&gt;=60,H853-5,IF(AND(H853&gt;=50,H853&lt;60),H853-4,IF(AND(H853&gt;=10,H853&lt;50),H853-3,H853)))))</f>
        <v/>
      </c>
      <c r="K853" s="57" t="n"/>
    </row>
    <row r="854" ht="15" customHeight="1">
      <c r="A854" s="10" t="n"/>
      <c r="B854" s="2" t="n">
        <v>851</v>
      </c>
      <c r="C854" s="3" t="n"/>
      <c r="D854" s="3" t="n"/>
      <c r="E854" s="2" t="n"/>
      <c r="F854" s="5">
        <f>IF(E854="","",E854*1000)</f>
        <v/>
      </c>
      <c r="G854" s="23" t="n"/>
      <c r="H854" s="56">
        <f>IF(I854&lt;&gt;"",I854,IF(G854="","",IF(ROUND(MOD(G854,1),1)&lt;=0.4,INT(G854)-1,INT(G854))))</f>
        <v/>
      </c>
      <c r="I854" s="56" t="n"/>
      <c r="J854" s="57">
        <f>IF(H854="","",IF(LOWER(A854)="gl",H854-2,IF(H854&gt;=60,H854-5,IF(AND(H854&gt;=50,H854&lt;60),H854-4,IF(AND(H854&gt;=10,H854&lt;50),H854-3,H854)))))</f>
        <v/>
      </c>
      <c r="K854" s="57" t="n"/>
    </row>
    <row r="855" ht="15" customHeight="1">
      <c r="A855" s="10" t="n"/>
      <c r="B855" s="2" t="n">
        <v>852</v>
      </c>
      <c r="C855" s="3" t="n"/>
      <c r="D855" s="3" t="n"/>
      <c r="E855" s="2" t="n"/>
      <c r="F855" s="5">
        <f>IF(E855="","",E855*1000)</f>
        <v/>
      </c>
      <c r="G855" s="23" t="n"/>
      <c r="H855" s="56">
        <f>IF(I855&lt;&gt;"",I855,IF(G855="","",IF(ROUND(MOD(G855,1),1)&lt;=0.4,INT(G855)-1,INT(G855))))</f>
        <v/>
      </c>
      <c r="I855" s="56" t="n"/>
      <c r="J855" s="57">
        <f>IF(H855="","",IF(LOWER(A855)="gl",H855-2,IF(H855&gt;=60,H855-5,IF(AND(H855&gt;=50,H855&lt;60),H855-4,IF(AND(H855&gt;=10,H855&lt;50),H855-3,H855)))))</f>
        <v/>
      </c>
      <c r="K855" s="57" t="n"/>
    </row>
    <row r="856" ht="15" customHeight="1">
      <c r="A856" s="10" t="n"/>
      <c r="B856" s="2" t="n">
        <v>853</v>
      </c>
      <c r="C856" s="3" t="n"/>
      <c r="D856" s="3" t="n"/>
      <c r="E856" s="2" t="n"/>
      <c r="F856" s="5">
        <f>IF(E856="","",E856*1000)</f>
        <v/>
      </c>
      <c r="G856" s="23" t="n"/>
      <c r="H856" s="56">
        <f>IF(I856&lt;&gt;"",I856,IF(G856="","",IF(ROUND(MOD(G856,1),1)&lt;=0.4,INT(G856)-1,INT(G856))))</f>
        <v/>
      </c>
      <c r="I856" s="56" t="n"/>
      <c r="J856" s="57">
        <f>IF(H856="","",IF(LOWER(A856)="gl",H856-2,IF(H856&gt;=60,H856-5,IF(AND(H856&gt;=50,H856&lt;60),H856-4,IF(AND(H856&gt;=10,H856&lt;50),H856-3,H856)))))</f>
        <v/>
      </c>
      <c r="K856" s="57" t="n"/>
    </row>
    <row r="857" ht="15" customHeight="1">
      <c r="A857" s="10" t="n"/>
      <c r="B857" s="2" t="n">
        <v>854</v>
      </c>
      <c r="C857" s="3" t="n"/>
      <c r="D857" s="3" t="n"/>
      <c r="E857" s="2" t="n"/>
      <c r="F857" s="5">
        <f>IF(E857="","",E857*1000)</f>
        <v/>
      </c>
      <c r="G857" s="23" t="n"/>
      <c r="H857" s="56">
        <f>IF(I857&lt;&gt;"",I857,IF(G857="","",IF(ROUND(MOD(G857,1),1)&lt;=0.4,INT(G857)-1,INT(G857))))</f>
        <v/>
      </c>
      <c r="I857" s="56" t="n"/>
      <c r="J857" s="57">
        <f>IF(H857="","",IF(LOWER(A857)="gl",H857-2,IF(H857&gt;=60,H857-5,IF(AND(H857&gt;=50,H857&lt;60),H857-4,IF(AND(H857&gt;=10,H857&lt;50),H857-3,H857)))))</f>
        <v/>
      </c>
      <c r="K857" s="57" t="n"/>
    </row>
    <row r="858" ht="15" customHeight="1">
      <c r="A858" s="10" t="n"/>
      <c r="B858" s="2" t="n">
        <v>855</v>
      </c>
      <c r="C858" s="3" t="n"/>
      <c r="D858" s="3" t="n"/>
      <c r="E858" s="2" t="n"/>
      <c r="F858" s="5">
        <f>IF(E858="","",E858*1000)</f>
        <v/>
      </c>
      <c r="G858" s="23" t="n"/>
      <c r="H858" s="56">
        <f>IF(I858&lt;&gt;"",I858,IF(G858="","",IF(ROUND(MOD(G858,1),1)&lt;=0.4,INT(G858)-1,INT(G858))))</f>
        <v/>
      </c>
      <c r="I858" s="56" t="n"/>
      <c r="J858" s="57">
        <f>IF(H858="","",IF(LOWER(A858)="gl",H858-2,IF(H858&gt;=60,H858-5,IF(AND(H858&gt;=50,H858&lt;60),H858-4,IF(AND(H858&gt;=10,H858&lt;50),H858-3,H858)))))</f>
        <v/>
      </c>
      <c r="K858" s="57" t="n"/>
    </row>
    <row r="859" ht="15" customHeight="1">
      <c r="A859" s="10" t="n"/>
      <c r="B859" s="2" t="n">
        <v>856</v>
      </c>
      <c r="C859" s="3" t="n"/>
      <c r="D859" s="3" t="n"/>
      <c r="E859" s="2" t="n"/>
      <c r="F859" s="5">
        <f>IF(E859="","",E859*1000)</f>
        <v/>
      </c>
      <c r="G859" s="23" t="n"/>
      <c r="H859" s="56">
        <f>IF(I859&lt;&gt;"",I859,IF(G859="","",IF(ROUND(MOD(G859,1),1)&lt;=0.4,INT(G859)-1,INT(G859))))</f>
        <v/>
      </c>
      <c r="I859" s="56" t="n"/>
      <c r="J859" s="57">
        <f>IF(H859="","",IF(LOWER(A859)="gl",H859-2,IF(H859&gt;=60,H859-5,IF(AND(H859&gt;=50,H859&lt;60),H859-4,IF(AND(H859&gt;=10,H859&lt;50),H859-3,H859)))))</f>
        <v/>
      </c>
      <c r="K859" s="57" t="n"/>
    </row>
    <row r="860" ht="15" customHeight="1">
      <c r="A860" s="10" t="n"/>
      <c r="B860" s="2" t="n">
        <v>857</v>
      </c>
      <c r="C860" s="3" t="n"/>
      <c r="D860" s="3" t="n"/>
      <c r="E860" s="2" t="n"/>
      <c r="F860" s="5">
        <f>IF(E860="","",E860*1000)</f>
        <v/>
      </c>
      <c r="G860" s="23" t="n"/>
      <c r="H860" s="56">
        <f>IF(I860&lt;&gt;"",I860,IF(G860="","",IF(ROUND(MOD(G860,1),1)&lt;=0.4,INT(G860)-1,INT(G860))))</f>
        <v/>
      </c>
      <c r="I860" s="56" t="n"/>
      <c r="J860" s="57">
        <f>IF(H860="","",IF(LOWER(A860)="gl",H860-2,IF(H860&gt;=60,H860-5,IF(AND(H860&gt;=50,H860&lt;60),H860-4,IF(AND(H860&gt;=10,H860&lt;50),H860-3,H860)))))</f>
        <v/>
      </c>
      <c r="K860" s="57" t="n"/>
    </row>
    <row r="861" ht="15" customHeight="1">
      <c r="A861" s="10" t="n"/>
      <c r="B861" s="2" t="n">
        <v>858</v>
      </c>
      <c r="C861" s="3" t="n"/>
      <c r="D861" s="3" t="n"/>
      <c r="E861" s="2" t="n"/>
      <c r="F861" s="5">
        <f>IF(E861="","",E861*1000)</f>
        <v/>
      </c>
      <c r="G861" s="23" t="n"/>
      <c r="H861" s="56">
        <f>IF(I861&lt;&gt;"",I861,IF(G861="","",IF(ROUND(MOD(G861,1),1)&lt;=0.4,INT(G861)-1,INT(G861))))</f>
        <v/>
      </c>
      <c r="I861" s="56" t="n"/>
      <c r="J861" s="57">
        <f>IF(H861="","",IF(LOWER(A861)="gl",H861-2,IF(H861&gt;=60,H861-5,IF(AND(H861&gt;=50,H861&lt;60),H861-4,IF(AND(H861&gt;=10,H861&lt;50),H861-3,H861)))))</f>
        <v/>
      </c>
      <c r="K861" s="57" t="n"/>
    </row>
    <row r="862" ht="15" customHeight="1">
      <c r="A862" s="10" t="n"/>
      <c r="B862" s="2" t="n">
        <v>859</v>
      </c>
      <c r="C862" s="3" t="n"/>
      <c r="D862" s="3" t="n"/>
      <c r="E862" s="2" t="n"/>
      <c r="F862" s="5">
        <f>IF(E862="","",E862*1000)</f>
        <v/>
      </c>
      <c r="G862" s="23" t="n"/>
      <c r="H862" s="56">
        <f>IF(I862&lt;&gt;"",I862,IF(G862="","",IF(ROUND(MOD(G862,1),1)&lt;=0.4,INT(G862)-1,INT(G862))))</f>
        <v/>
      </c>
      <c r="I862" s="56" t="n"/>
      <c r="J862" s="57">
        <f>IF(H862="","",IF(LOWER(A862)="gl",H862-2,IF(H862&gt;=60,H862-5,IF(AND(H862&gt;=50,H862&lt;60),H862-4,IF(AND(H862&gt;=10,H862&lt;50),H862-3,H862)))))</f>
        <v/>
      </c>
      <c r="K862" s="57" t="n"/>
    </row>
    <row r="863" ht="15" customHeight="1">
      <c r="A863" s="10" t="n"/>
      <c r="B863" s="2" t="n">
        <v>860</v>
      </c>
      <c r="C863" s="3" t="n"/>
      <c r="D863" s="3" t="n"/>
      <c r="E863" s="2" t="n"/>
      <c r="F863" s="5">
        <f>IF(E863="","",E863*1000)</f>
        <v/>
      </c>
      <c r="G863" s="23" t="n"/>
      <c r="H863" s="56">
        <f>IF(I863&lt;&gt;"",I863,IF(G863="","",IF(ROUND(MOD(G863,1),1)&lt;=0.4,INT(G863)-1,INT(G863))))</f>
        <v/>
      </c>
      <c r="I863" s="56" t="n"/>
      <c r="J863" s="57">
        <f>IF(H863="","",IF(LOWER(A863)="gl",H863-2,IF(H863&gt;=60,H863-5,IF(AND(H863&gt;=50,H863&lt;60),H863-4,IF(AND(H863&gt;=10,H863&lt;50),H863-3,H863)))))</f>
        <v/>
      </c>
      <c r="K863" s="57" t="n"/>
    </row>
    <row r="864" ht="15" customHeight="1">
      <c r="A864" s="10" t="n"/>
      <c r="B864" s="2" t="n">
        <v>861</v>
      </c>
      <c r="C864" s="3" t="n"/>
      <c r="D864" s="3" t="n"/>
      <c r="E864" s="2" t="n"/>
      <c r="F864" s="5">
        <f>IF(E864="","",E864*1000)</f>
        <v/>
      </c>
      <c r="G864" s="23" t="n"/>
      <c r="H864" s="56">
        <f>IF(I864&lt;&gt;"",I864,IF(G864="","",IF(ROUND(MOD(G864,1),1)&lt;=0.4,INT(G864)-1,INT(G864))))</f>
        <v/>
      </c>
      <c r="I864" s="56" t="n"/>
      <c r="J864" s="57">
        <f>IF(H864="","",IF(LOWER(A864)="gl",H864-2,IF(H864&gt;=60,H864-5,IF(AND(H864&gt;=50,H864&lt;60),H864-4,IF(AND(H864&gt;=10,H864&lt;50),H864-3,H864)))))</f>
        <v/>
      </c>
      <c r="K864" s="57" t="n"/>
    </row>
    <row r="865" ht="15" customHeight="1">
      <c r="A865" s="10" t="n"/>
      <c r="B865" s="2" t="n">
        <v>862</v>
      </c>
      <c r="C865" s="3" t="n"/>
      <c r="D865" s="3" t="n"/>
      <c r="E865" s="2" t="n"/>
      <c r="F865" s="5">
        <f>IF(E865="","",E865*1000)</f>
        <v/>
      </c>
      <c r="G865" s="23" t="n"/>
      <c r="H865" s="56">
        <f>IF(I865&lt;&gt;"",I865,IF(G865="","",IF(ROUND(MOD(G865,1),1)&lt;=0.4,INT(G865)-1,INT(G865))))</f>
        <v/>
      </c>
      <c r="I865" s="56" t="n"/>
      <c r="J865" s="57">
        <f>IF(H865="","",IF(LOWER(A865)="gl",H865-2,IF(H865&gt;=60,H865-5,IF(AND(H865&gt;=50,H865&lt;60),H865-4,IF(AND(H865&gt;=10,H865&lt;50),H865-3,H865)))))</f>
        <v/>
      </c>
      <c r="K865" s="57" t="n"/>
    </row>
    <row r="866" ht="15" customHeight="1">
      <c r="A866" s="10" t="n"/>
      <c r="B866" s="2" t="n">
        <v>863</v>
      </c>
      <c r="C866" s="3" t="n"/>
      <c r="D866" s="3" t="n"/>
      <c r="E866" s="2" t="n"/>
      <c r="F866" s="5">
        <f>IF(E866="","",E866*1000)</f>
        <v/>
      </c>
      <c r="G866" s="23" t="n"/>
      <c r="H866" s="56">
        <f>IF(I866&lt;&gt;"",I866,IF(G866="","",IF(ROUND(MOD(G866,1),1)&lt;=0.4,INT(G866)-1,INT(G866))))</f>
        <v/>
      </c>
      <c r="I866" s="56" t="n"/>
      <c r="J866" s="57">
        <f>IF(H866="","",IF(LOWER(A866)="gl",H866-2,IF(H866&gt;=60,H866-5,IF(AND(H866&gt;=50,H866&lt;60),H866-4,IF(AND(H866&gt;=10,H866&lt;50),H866-3,H866)))))</f>
        <v/>
      </c>
      <c r="K866" s="57" t="n"/>
    </row>
    <row r="867" ht="15" customHeight="1">
      <c r="A867" s="10" t="n"/>
      <c r="B867" s="2" t="n">
        <v>864</v>
      </c>
      <c r="C867" s="3" t="n"/>
      <c r="D867" s="3" t="n"/>
      <c r="E867" s="2" t="n"/>
      <c r="F867" s="5">
        <f>IF(E867="","",E867*1000)</f>
        <v/>
      </c>
      <c r="G867" s="23" t="n"/>
      <c r="H867" s="56">
        <f>IF(I867&lt;&gt;"",I867,IF(G867="","",IF(ROUND(MOD(G867,1),1)&lt;=0.4,INT(G867)-1,INT(G867))))</f>
        <v/>
      </c>
      <c r="I867" s="56" t="n"/>
      <c r="J867" s="57">
        <f>IF(H867="","",IF(LOWER(A867)="gl",H867-2,IF(H867&gt;=60,H867-5,IF(AND(H867&gt;=50,H867&lt;60),H867-4,IF(AND(H867&gt;=10,H867&lt;50),H867-3,H867)))))</f>
        <v/>
      </c>
      <c r="K867" s="57" t="n"/>
    </row>
    <row r="868" ht="15" customHeight="1">
      <c r="A868" s="10" t="n"/>
      <c r="B868" s="2" t="n">
        <v>865</v>
      </c>
      <c r="C868" s="3" t="n"/>
      <c r="D868" s="3" t="n"/>
      <c r="E868" s="2" t="n"/>
      <c r="F868" s="5">
        <f>IF(E868="","",E868*1000)</f>
        <v/>
      </c>
      <c r="G868" s="23" t="n"/>
      <c r="H868" s="56">
        <f>IF(I868&lt;&gt;"",I868,IF(G868="","",IF(ROUND(MOD(G868,1),1)&lt;=0.4,INT(G868)-1,INT(G868))))</f>
        <v/>
      </c>
      <c r="I868" s="56" t="n"/>
      <c r="J868" s="57">
        <f>IF(H868="","",IF(LOWER(A868)="gl",H868-2,IF(H868&gt;=60,H868-5,IF(AND(H868&gt;=50,H868&lt;60),H868-4,IF(AND(H868&gt;=10,H868&lt;50),H868-3,H868)))))</f>
        <v/>
      </c>
      <c r="K868" s="57" t="n"/>
    </row>
    <row r="869" ht="15" customHeight="1">
      <c r="A869" s="10" t="n"/>
      <c r="B869" s="2" t="n">
        <v>866</v>
      </c>
      <c r="C869" s="3" t="n"/>
      <c r="D869" s="3" t="n"/>
      <c r="E869" s="2" t="n"/>
      <c r="F869" s="5">
        <f>IF(E869="","",E869*1000)</f>
        <v/>
      </c>
      <c r="G869" s="23" t="n"/>
      <c r="H869" s="56">
        <f>IF(I869&lt;&gt;"",I869,IF(G869="","",IF(ROUND(MOD(G869,1),1)&lt;=0.4,INT(G869)-1,INT(G869))))</f>
        <v/>
      </c>
      <c r="I869" s="56" t="n"/>
      <c r="J869" s="57">
        <f>IF(H869="","",IF(LOWER(A869)="gl",H869-2,IF(H869&gt;=60,H869-5,IF(AND(H869&gt;=50,H869&lt;60),H869-4,IF(AND(H869&gt;=10,H869&lt;50),H869-3,H869)))))</f>
        <v/>
      </c>
      <c r="K869" s="57" t="n"/>
    </row>
    <row r="870" ht="15" customHeight="1">
      <c r="A870" s="10" t="n"/>
      <c r="B870" s="2" t="n">
        <v>867</v>
      </c>
      <c r="C870" s="3" t="n"/>
      <c r="D870" s="3" t="n"/>
      <c r="E870" s="2" t="n"/>
      <c r="F870" s="5">
        <f>IF(E870="","",E870*1000)</f>
        <v/>
      </c>
      <c r="G870" s="23" t="n"/>
      <c r="H870" s="56">
        <f>IF(I870&lt;&gt;"",I870,IF(G870="","",IF(ROUND(MOD(G870,1),1)&lt;=0.4,INT(G870)-1,INT(G870))))</f>
        <v/>
      </c>
      <c r="I870" s="56" t="n"/>
      <c r="J870" s="57">
        <f>IF(H870="","",IF(LOWER(A870)="gl",H870-2,IF(H870&gt;=60,H870-5,IF(AND(H870&gt;=50,H870&lt;60),H870-4,IF(AND(H870&gt;=10,H870&lt;50),H870-3,H870)))))</f>
        <v/>
      </c>
      <c r="K870" s="57" t="n"/>
    </row>
    <row r="871" ht="15" customHeight="1">
      <c r="A871" s="10" t="n"/>
      <c r="B871" s="2" t="n">
        <v>868</v>
      </c>
      <c r="C871" s="3" t="n"/>
      <c r="D871" s="3" t="n"/>
      <c r="E871" s="2" t="n"/>
      <c r="F871" s="5">
        <f>IF(E871="","",E871*1000)</f>
        <v/>
      </c>
      <c r="G871" s="23" t="n"/>
      <c r="H871" s="56">
        <f>IF(I871&lt;&gt;"",I871,IF(G871="","",IF(ROUND(MOD(G871,1),1)&lt;=0.4,INT(G871)-1,INT(G871))))</f>
        <v/>
      </c>
      <c r="I871" s="56" t="n"/>
      <c r="J871" s="57">
        <f>IF(H871="","",IF(LOWER(A871)="gl",H871-2,IF(H871&gt;=60,H871-5,IF(AND(H871&gt;=50,H871&lt;60),H871-4,IF(AND(H871&gt;=10,H871&lt;50),H871-3,H871)))))</f>
        <v/>
      </c>
      <c r="K871" s="57" t="n"/>
    </row>
    <row r="872" ht="15" customHeight="1">
      <c r="A872" s="10" t="n"/>
      <c r="B872" s="2" t="n">
        <v>869</v>
      </c>
      <c r="C872" s="3" t="n"/>
      <c r="D872" s="3" t="n"/>
      <c r="E872" s="2" t="n"/>
      <c r="F872" s="5">
        <f>IF(E872="","",E872*1000)</f>
        <v/>
      </c>
      <c r="G872" s="23" t="n"/>
      <c r="H872" s="56">
        <f>IF(I872&lt;&gt;"",I872,IF(G872="","",IF(ROUND(MOD(G872,1),1)&lt;=0.4,INT(G872)-1,INT(G872))))</f>
        <v/>
      </c>
      <c r="I872" s="56" t="n"/>
      <c r="J872" s="57">
        <f>IF(H872="","",IF(LOWER(A872)="gl",H872-2,IF(H872&gt;=60,H872-5,IF(AND(H872&gt;=50,H872&lt;60),H872-4,IF(AND(H872&gt;=10,H872&lt;50),H872-3,H872)))))</f>
        <v/>
      </c>
      <c r="K872" s="57" t="n"/>
    </row>
    <row r="873" ht="15" customHeight="1">
      <c r="A873" s="10" t="n"/>
      <c r="B873" s="2" t="n">
        <v>870</v>
      </c>
      <c r="C873" s="3" t="n"/>
      <c r="D873" s="3" t="n"/>
      <c r="E873" s="2" t="n"/>
      <c r="F873" s="5">
        <f>IF(E873="","",E873*1000)</f>
        <v/>
      </c>
      <c r="G873" s="23" t="n"/>
      <c r="H873" s="56">
        <f>IF(I873&lt;&gt;"",I873,IF(G873="","",IF(ROUND(MOD(G873,1),1)&lt;=0.4,INT(G873)-1,INT(G873))))</f>
        <v/>
      </c>
      <c r="I873" s="56" t="n"/>
      <c r="J873" s="57">
        <f>IF(H873="","",IF(LOWER(A873)="gl",H873-2,IF(H873&gt;=60,H873-5,IF(AND(H873&gt;=50,H873&lt;60),H873-4,IF(AND(H873&gt;=10,H873&lt;50),H873-3,H873)))))</f>
        <v/>
      </c>
      <c r="K873" s="57" t="n"/>
    </row>
    <row r="874" ht="15" customHeight="1">
      <c r="A874" s="10" t="n"/>
      <c r="B874" s="2" t="n">
        <v>871</v>
      </c>
      <c r="C874" s="3" t="n"/>
      <c r="D874" s="3" t="n"/>
      <c r="E874" s="2" t="n"/>
      <c r="F874" s="5">
        <f>IF(E874="","",E874*1000)</f>
        <v/>
      </c>
      <c r="G874" s="23" t="n"/>
      <c r="H874" s="56">
        <f>IF(I874&lt;&gt;"",I874,IF(G874="","",IF(ROUND(MOD(G874,1),1)&lt;=0.4,INT(G874)-1,INT(G874))))</f>
        <v/>
      </c>
      <c r="I874" s="56" t="n"/>
      <c r="J874" s="57">
        <f>IF(H874="","",IF(LOWER(A874)="gl",H874-2,IF(H874&gt;=60,H874-5,IF(AND(H874&gt;=50,H874&lt;60),H874-4,IF(AND(H874&gt;=10,H874&lt;50),H874-3,H874)))))</f>
        <v/>
      </c>
      <c r="K874" s="57" t="n"/>
    </row>
    <row r="875" ht="15" customHeight="1">
      <c r="A875" s="10" t="n"/>
      <c r="B875" s="2" t="n">
        <v>872</v>
      </c>
      <c r="C875" s="3" t="n"/>
      <c r="D875" s="3" t="n"/>
      <c r="E875" s="2" t="n"/>
      <c r="F875" s="5">
        <f>IF(E875="","",E875*1000)</f>
        <v/>
      </c>
      <c r="G875" s="23" t="n"/>
      <c r="H875" s="56">
        <f>IF(I875&lt;&gt;"",I875,IF(G875="","",IF(ROUND(MOD(G875,1),1)&lt;=0.4,INT(G875)-1,INT(G875))))</f>
        <v/>
      </c>
      <c r="I875" s="56" t="n"/>
      <c r="J875" s="57">
        <f>IF(H875="","",IF(LOWER(A875)="gl",H875-2,IF(H875&gt;=60,H875-5,IF(AND(H875&gt;=50,H875&lt;60),H875-4,IF(AND(H875&gt;=10,H875&lt;50),H875-3,H875)))))</f>
        <v/>
      </c>
      <c r="K875" s="57" t="n"/>
    </row>
    <row r="876" ht="15" customHeight="1">
      <c r="A876" s="10" t="n"/>
      <c r="B876" s="2" t="n">
        <v>873</v>
      </c>
      <c r="C876" s="3" t="n"/>
      <c r="D876" s="3" t="n"/>
      <c r="E876" s="2" t="n"/>
      <c r="F876" s="5">
        <f>IF(E876="","",E876*1000)</f>
        <v/>
      </c>
      <c r="G876" s="23" t="n"/>
      <c r="H876" s="56">
        <f>IF(I876&lt;&gt;"",I876,IF(G876="","",IF(ROUND(MOD(G876,1),1)&lt;=0.4,INT(G876)-1,INT(G876))))</f>
        <v/>
      </c>
      <c r="I876" s="56" t="n"/>
      <c r="J876" s="57">
        <f>IF(H876="","",IF(LOWER(A876)="gl",H876-2,IF(H876&gt;=60,H876-5,IF(AND(H876&gt;=50,H876&lt;60),H876-4,IF(AND(H876&gt;=10,H876&lt;50),H876-3,H876)))))</f>
        <v/>
      </c>
      <c r="K876" s="57" t="n"/>
    </row>
    <row r="877" ht="15" customHeight="1">
      <c r="A877" s="10" t="n"/>
      <c r="B877" s="2" t="n">
        <v>874</v>
      </c>
      <c r="C877" s="3" t="n"/>
      <c r="D877" s="3" t="n"/>
      <c r="E877" s="2" t="n"/>
      <c r="F877" s="5">
        <f>IF(E877="","",E877*1000)</f>
        <v/>
      </c>
      <c r="G877" s="23" t="n"/>
      <c r="H877" s="56">
        <f>IF(I877&lt;&gt;"",I877,IF(G877="","",IF(ROUND(MOD(G877,1),1)&lt;=0.4,INT(G877)-1,INT(G877))))</f>
        <v/>
      </c>
      <c r="I877" s="56" t="n"/>
      <c r="J877" s="57">
        <f>IF(H877="","",IF(LOWER(A877)="gl",H877-2,IF(H877&gt;=60,H877-5,IF(AND(H877&gt;=50,H877&lt;60),H877-4,IF(AND(H877&gt;=10,H877&lt;50),H877-3,H877)))))</f>
        <v/>
      </c>
      <c r="K877" s="57" t="n"/>
    </row>
    <row r="878" ht="15" customHeight="1">
      <c r="A878" s="10" t="n"/>
      <c r="B878" s="2" t="n">
        <v>875</v>
      </c>
      <c r="C878" s="3" t="n"/>
      <c r="D878" s="3" t="n"/>
      <c r="E878" s="2" t="n"/>
      <c r="F878" s="5">
        <f>IF(E878="","",E878*1000)</f>
        <v/>
      </c>
      <c r="G878" s="23" t="n"/>
      <c r="H878" s="56">
        <f>IF(I878&lt;&gt;"",I878,IF(G878="","",IF(ROUND(MOD(G878,1),1)&lt;=0.4,INT(G878)-1,INT(G878))))</f>
        <v/>
      </c>
      <c r="I878" s="56" t="n"/>
      <c r="J878" s="57">
        <f>IF(H878="","",IF(LOWER(A878)="gl",H878-2,IF(H878&gt;=60,H878-5,IF(AND(H878&gt;=50,H878&lt;60),H878-4,IF(AND(H878&gt;=10,H878&lt;50),H878-3,H878)))))</f>
        <v/>
      </c>
      <c r="K878" s="57" t="n"/>
    </row>
    <row r="879" ht="15" customHeight="1">
      <c r="A879" s="10" t="n"/>
      <c r="B879" s="2" t="n">
        <v>876</v>
      </c>
      <c r="C879" s="3" t="n"/>
      <c r="D879" s="3" t="n"/>
      <c r="E879" s="2" t="n"/>
      <c r="F879" s="5">
        <f>IF(E879="","",E879*1000)</f>
        <v/>
      </c>
      <c r="G879" s="23" t="n"/>
      <c r="H879" s="56">
        <f>IF(I879&lt;&gt;"",I879,IF(G879="","",IF(ROUND(MOD(G879,1),1)&lt;=0.4,INT(G879)-1,INT(G879))))</f>
        <v/>
      </c>
      <c r="I879" s="56" t="n"/>
      <c r="J879" s="57">
        <f>IF(H879="","",IF(LOWER(A879)="gl",H879-2,IF(H879&gt;=60,H879-5,IF(AND(H879&gt;=50,H879&lt;60),H879-4,IF(AND(H879&gt;=10,H879&lt;50),H879-3,H879)))))</f>
        <v/>
      </c>
      <c r="K879" s="57" t="n"/>
    </row>
    <row r="880" ht="15" customHeight="1">
      <c r="A880" s="10" t="n"/>
      <c r="B880" s="2" t="n">
        <v>877</v>
      </c>
      <c r="C880" s="3" t="n"/>
      <c r="D880" s="3" t="n"/>
      <c r="E880" s="2" t="n"/>
      <c r="F880" s="5">
        <f>IF(E880="","",E880*1000)</f>
        <v/>
      </c>
      <c r="G880" s="23" t="n"/>
      <c r="H880" s="56">
        <f>IF(I880&lt;&gt;"",I880,IF(G880="","",IF(ROUND(MOD(G880,1),1)&lt;=0.4,INT(G880)-1,INT(G880))))</f>
        <v/>
      </c>
      <c r="I880" s="56" t="n"/>
      <c r="J880" s="57">
        <f>IF(H880="","",IF(LOWER(A880)="gl",H880-2,IF(H880&gt;=60,H880-5,IF(AND(H880&gt;=50,H880&lt;60),H880-4,IF(AND(H880&gt;=10,H880&lt;50),H880-3,H880)))))</f>
        <v/>
      </c>
      <c r="K880" s="57" t="n"/>
    </row>
    <row r="881" ht="15" customHeight="1">
      <c r="A881" s="10" t="n"/>
      <c r="B881" s="2" t="n">
        <v>878</v>
      </c>
      <c r="C881" s="3" t="n"/>
      <c r="D881" s="3" t="n"/>
      <c r="E881" s="2" t="n"/>
      <c r="F881" s="5">
        <f>IF(E881="","",E881*1000)</f>
        <v/>
      </c>
      <c r="G881" s="23" t="n"/>
      <c r="H881" s="56">
        <f>IF(I881&lt;&gt;"",I881,IF(G881="","",IF(ROUND(MOD(G881,1),1)&lt;=0.4,INT(G881)-1,INT(G881))))</f>
        <v/>
      </c>
      <c r="I881" s="56" t="n"/>
      <c r="J881" s="57">
        <f>IF(H881="","",IF(LOWER(A881)="gl",H881-2,IF(H881&gt;=60,H881-5,IF(AND(H881&gt;=50,H881&lt;60),H881-4,IF(AND(H881&gt;=10,H881&lt;50),H881-3,H881)))))</f>
        <v/>
      </c>
      <c r="K881" s="57" t="n"/>
    </row>
    <row r="882" ht="15" customHeight="1">
      <c r="A882" s="10" t="n"/>
      <c r="B882" s="2" t="n">
        <v>879</v>
      </c>
      <c r="C882" s="3" t="n"/>
      <c r="D882" s="3" t="n"/>
      <c r="E882" s="2" t="n"/>
      <c r="F882" s="5">
        <f>IF(E882="","",E882*1000)</f>
        <v/>
      </c>
      <c r="G882" s="23" t="n"/>
      <c r="H882" s="56">
        <f>IF(I882&lt;&gt;"",I882,IF(G882="","",IF(ROUND(MOD(G882,1),1)&lt;=0.4,INT(G882)-1,INT(G882))))</f>
        <v/>
      </c>
      <c r="I882" s="56" t="n"/>
      <c r="J882" s="57">
        <f>IF(H882="","",IF(LOWER(A882)="gl",H882-2,IF(H882&gt;=60,H882-5,IF(AND(H882&gt;=50,H882&lt;60),H882-4,IF(AND(H882&gt;=10,H882&lt;50),H882-3,H882)))))</f>
        <v/>
      </c>
      <c r="K882" s="57" t="n"/>
    </row>
    <row r="883" ht="15" customHeight="1">
      <c r="A883" s="10" t="n"/>
      <c r="B883" s="2" t="n">
        <v>880</v>
      </c>
      <c r="C883" s="3" t="n"/>
      <c r="D883" s="3" t="n"/>
      <c r="E883" s="2" t="n"/>
      <c r="F883" s="5">
        <f>IF(E883="","",E883*1000)</f>
        <v/>
      </c>
      <c r="G883" s="23" t="n"/>
      <c r="H883" s="56">
        <f>IF(I883&lt;&gt;"",I883,IF(G883="","",IF(ROUND(MOD(G883,1),1)&lt;=0.4,INT(G883)-1,INT(G883))))</f>
        <v/>
      </c>
      <c r="I883" s="56" t="n"/>
      <c r="J883" s="57">
        <f>IF(H883="","",IF(LOWER(A883)="gl",H883-2,IF(H883&gt;=60,H883-5,IF(AND(H883&gt;=50,H883&lt;60),H883-4,IF(AND(H883&gt;=10,H883&lt;50),H883-3,H883)))))</f>
        <v/>
      </c>
      <c r="K883" s="57" t="n"/>
    </row>
    <row r="884" ht="15" customHeight="1">
      <c r="A884" s="10" t="n"/>
      <c r="B884" s="2" t="n">
        <v>881</v>
      </c>
      <c r="C884" s="3" t="n"/>
      <c r="D884" s="3" t="n"/>
      <c r="E884" s="2" t="n"/>
      <c r="F884" s="5">
        <f>IF(E884="","",E884*1000)</f>
        <v/>
      </c>
      <c r="G884" s="23" t="n"/>
      <c r="H884" s="56">
        <f>IF(I884&lt;&gt;"",I884,IF(G884="","",IF(ROUND(MOD(G884,1),1)&lt;=0.4,INT(G884)-1,INT(G884))))</f>
        <v/>
      </c>
      <c r="I884" s="56" t="n"/>
      <c r="J884" s="57">
        <f>IF(H884="","",IF(LOWER(A884)="gl",H884-2,IF(H884&gt;=60,H884-5,IF(AND(H884&gt;=50,H884&lt;60),H884-4,IF(AND(H884&gt;=10,H884&lt;50),H884-3,H884)))))</f>
        <v/>
      </c>
      <c r="K884" s="57" t="n"/>
    </row>
    <row r="885" ht="15" customHeight="1">
      <c r="A885" s="10" t="n"/>
      <c r="B885" s="2" t="n">
        <v>882</v>
      </c>
      <c r="C885" s="3" t="n"/>
      <c r="D885" s="3" t="n"/>
      <c r="E885" s="2" t="n"/>
      <c r="F885" s="5">
        <f>IF(E885="","",E885*1000)</f>
        <v/>
      </c>
      <c r="G885" s="23" t="n"/>
      <c r="H885" s="56">
        <f>IF(I885&lt;&gt;"",I885,IF(G885="","",IF(ROUND(MOD(G885,1),1)&lt;=0.4,INT(G885)-1,INT(G885))))</f>
        <v/>
      </c>
      <c r="I885" s="56" t="n"/>
      <c r="J885" s="57">
        <f>IF(H885="","",IF(LOWER(A885)="gl",H885-2,IF(H885&gt;=60,H885-5,IF(AND(H885&gt;=50,H885&lt;60),H885-4,IF(AND(H885&gt;=10,H885&lt;50),H885-3,H885)))))</f>
        <v/>
      </c>
      <c r="K885" s="57" t="n"/>
    </row>
    <row r="886" ht="15" customHeight="1">
      <c r="A886" s="10" t="n"/>
      <c r="B886" s="2" t="n">
        <v>883</v>
      </c>
      <c r="C886" s="3" t="n"/>
      <c r="D886" s="3" t="n"/>
      <c r="E886" s="2" t="n"/>
      <c r="F886" s="5">
        <f>IF(E886="","",E886*1000)</f>
        <v/>
      </c>
      <c r="G886" s="23" t="n"/>
      <c r="H886" s="56">
        <f>IF(I886&lt;&gt;"",I886,IF(G886="","",IF(ROUND(MOD(G886,1),1)&lt;=0.4,INT(G886)-1,INT(G886))))</f>
        <v/>
      </c>
      <c r="I886" s="56" t="n"/>
      <c r="J886" s="57">
        <f>IF(H886="","",IF(LOWER(A886)="gl",H886-2,IF(H886&gt;=60,H886-5,IF(AND(H886&gt;=50,H886&lt;60),H886-4,IF(AND(H886&gt;=10,H886&lt;50),H886-3,H886)))))</f>
        <v/>
      </c>
      <c r="K886" s="57" t="n"/>
    </row>
    <row r="887" ht="15" customHeight="1">
      <c r="A887" s="10" t="n"/>
      <c r="B887" s="2" t="n">
        <v>884</v>
      </c>
      <c r="C887" s="3" t="n"/>
      <c r="D887" s="3" t="n"/>
      <c r="E887" s="2" t="n"/>
      <c r="F887" s="5">
        <f>IF(E887="","",E887*1000)</f>
        <v/>
      </c>
      <c r="G887" s="23" t="n"/>
      <c r="H887" s="56">
        <f>IF(I887&lt;&gt;"",I887,IF(G887="","",IF(ROUND(MOD(G887,1),1)&lt;=0.4,INT(G887)-1,INT(G887))))</f>
        <v/>
      </c>
      <c r="I887" s="56" t="n"/>
      <c r="J887" s="57">
        <f>IF(H887="","",IF(LOWER(A887)="gl",H887-2,IF(H887&gt;=60,H887-5,IF(AND(H887&gt;=50,H887&lt;60),H887-4,IF(AND(H887&gt;=10,H887&lt;50),H887-3,H887)))))</f>
        <v/>
      </c>
      <c r="K887" s="57" t="n"/>
    </row>
    <row r="888" ht="15" customHeight="1">
      <c r="A888" s="10" t="n"/>
      <c r="B888" s="2" t="n">
        <v>885</v>
      </c>
      <c r="C888" s="3" t="n"/>
      <c r="D888" s="3" t="n"/>
      <c r="E888" s="2" t="n"/>
      <c r="F888" s="5">
        <f>IF(E888="","",E888*1000)</f>
        <v/>
      </c>
      <c r="G888" s="23" t="n"/>
      <c r="H888" s="56">
        <f>IF(I888&lt;&gt;"",I888,IF(G888="","",IF(ROUND(MOD(G888,1),1)&lt;=0.4,INT(G888)-1,INT(G888))))</f>
        <v/>
      </c>
      <c r="I888" s="56" t="n"/>
      <c r="J888" s="57">
        <f>IF(H888="","",IF(LOWER(A888)="gl",H888-2,IF(H888&gt;=60,H888-5,IF(AND(H888&gt;=50,H888&lt;60),H888-4,IF(AND(H888&gt;=10,H888&lt;50),H888-3,H888)))))</f>
        <v/>
      </c>
      <c r="K888" s="57" t="n"/>
    </row>
    <row r="889" ht="15" customHeight="1">
      <c r="A889" s="10" t="n"/>
      <c r="B889" s="2" t="n">
        <v>886</v>
      </c>
      <c r="C889" s="3" t="n"/>
      <c r="D889" s="3" t="n"/>
      <c r="E889" s="2" t="n"/>
      <c r="F889" s="5">
        <f>IF(E889="","",E889*1000)</f>
        <v/>
      </c>
      <c r="G889" s="23" t="n"/>
      <c r="H889" s="56">
        <f>IF(I889&lt;&gt;"",I889,IF(G889="","",IF(ROUND(MOD(G889,1),1)&lt;=0.4,INT(G889)-1,INT(G889))))</f>
        <v/>
      </c>
      <c r="I889" s="56" t="n"/>
      <c r="J889" s="57">
        <f>IF(H889="","",IF(LOWER(A889)="gl",H889-2,IF(H889&gt;=60,H889-5,IF(AND(H889&gt;=50,H889&lt;60),H889-4,IF(AND(H889&gt;=10,H889&lt;50),H889-3,H889)))))</f>
        <v/>
      </c>
      <c r="K889" s="57" t="n"/>
    </row>
    <row r="890" ht="15" customHeight="1">
      <c r="A890" s="10" t="n"/>
      <c r="B890" s="2" t="n">
        <v>887</v>
      </c>
      <c r="C890" s="3" t="n"/>
      <c r="D890" s="3" t="n"/>
      <c r="E890" s="2" t="n"/>
      <c r="F890" s="5">
        <f>IF(E890="","",E890*1000)</f>
        <v/>
      </c>
      <c r="G890" s="23" t="n"/>
      <c r="H890" s="56">
        <f>IF(I890&lt;&gt;"",I890,IF(G890="","",IF(ROUND(MOD(G890,1),1)&lt;=0.4,INT(G890)-1,INT(G890))))</f>
        <v/>
      </c>
      <c r="I890" s="56" t="n"/>
      <c r="J890" s="57">
        <f>IF(H890="","",IF(LOWER(A890)="gl",H890-2,IF(H890&gt;=60,H890-5,IF(AND(H890&gt;=50,H890&lt;60),H890-4,IF(AND(H890&gt;=10,H890&lt;50),H890-3,H890)))))</f>
        <v/>
      </c>
      <c r="K890" s="57" t="n"/>
    </row>
    <row r="891" ht="15" customHeight="1">
      <c r="A891" s="10" t="n"/>
      <c r="B891" s="2" t="n">
        <v>888</v>
      </c>
      <c r="C891" s="3" t="n"/>
      <c r="D891" s="3" t="n"/>
      <c r="E891" s="2" t="n"/>
      <c r="F891" s="5">
        <f>IF(E891="","",E891*1000)</f>
        <v/>
      </c>
      <c r="G891" s="23" t="n"/>
      <c r="H891" s="56">
        <f>IF(I891&lt;&gt;"",I891,IF(G891="","",IF(ROUND(MOD(G891,1),1)&lt;=0.4,INT(G891)-1,INT(G891))))</f>
        <v/>
      </c>
      <c r="I891" s="56" t="n"/>
      <c r="J891" s="57">
        <f>IF(H891="","",IF(LOWER(A891)="gl",H891-2,IF(H891&gt;=60,H891-5,IF(AND(H891&gt;=50,H891&lt;60),H891-4,IF(AND(H891&gt;=10,H891&lt;50),H891-3,H891)))))</f>
        <v/>
      </c>
      <c r="K891" s="57" t="n"/>
    </row>
    <row r="892" ht="15" customHeight="1">
      <c r="A892" s="10" t="n"/>
      <c r="B892" s="2" t="n">
        <v>889</v>
      </c>
      <c r="C892" s="3" t="n"/>
      <c r="D892" s="3" t="n"/>
      <c r="E892" s="2" t="n"/>
      <c r="F892" s="5">
        <f>IF(E892="","",E892*1000)</f>
        <v/>
      </c>
      <c r="G892" s="23" t="n"/>
      <c r="H892" s="56">
        <f>IF(I892&lt;&gt;"",I892,IF(G892="","",IF(ROUND(MOD(G892,1),1)&lt;=0.4,INT(G892)-1,INT(G892))))</f>
        <v/>
      </c>
      <c r="I892" s="56" t="n"/>
      <c r="J892" s="57">
        <f>IF(H892="","",IF(LOWER(A892)="gl",H892-2,IF(H892&gt;=60,H892-5,IF(AND(H892&gt;=50,H892&lt;60),H892-4,IF(AND(H892&gt;=10,H892&lt;50),H892-3,H892)))))</f>
        <v/>
      </c>
      <c r="K892" s="57" t="n"/>
    </row>
    <row r="893" ht="15" customHeight="1">
      <c r="A893" s="10" t="n"/>
      <c r="B893" s="2" t="n">
        <v>890</v>
      </c>
      <c r="C893" s="3" t="n"/>
      <c r="D893" s="3" t="n"/>
      <c r="E893" s="2" t="n"/>
      <c r="F893" s="5">
        <f>IF(E893="","",E893*1000)</f>
        <v/>
      </c>
      <c r="G893" s="23" t="n"/>
      <c r="H893" s="56">
        <f>IF(I893&lt;&gt;"",I893,IF(G893="","",IF(ROUND(MOD(G893,1),1)&lt;=0.4,INT(G893)-1,INT(G893))))</f>
        <v/>
      </c>
      <c r="I893" s="56" t="n"/>
      <c r="J893" s="57">
        <f>IF(H893="","",IF(LOWER(A893)="gl",H893-2,IF(H893&gt;=60,H893-5,IF(AND(H893&gt;=50,H893&lt;60),H893-4,IF(AND(H893&gt;=10,H893&lt;50),H893-3,H893)))))</f>
        <v/>
      </c>
      <c r="K893" s="57" t="n"/>
    </row>
    <row r="894" ht="15" customHeight="1">
      <c r="A894" s="10" t="n"/>
      <c r="B894" s="2" t="n">
        <v>891</v>
      </c>
      <c r="C894" s="3" t="n"/>
      <c r="D894" s="3" t="n"/>
      <c r="E894" s="2" t="n"/>
      <c r="F894" s="5">
        <f>IF(E894="","",E894*1000)</f>
        <v/>
      </c>
      <c r="G894" s="23" t="n"/>
      <c r="H894" s="56">
        <f>IF(I894&lt;&gt;"",I894,IF(G894="","",IF(ROUND(MOD(G894,1),1)&lt;=0.4,INT(G894)-1,INT(G894))))</f>
        <v/>
      </c>
      <c r="I894" s="56" t="n"/>
      <c r="J894" s="57">
        <f>IF(H894="","",IF(LOWER(A894)="gl",H894-2,IF(H894&gt;=60,H894-5,IF(AND(H894&gt;=50,H894&lt;60),H894-4,IF(AND(H894&gt;=10,H894&lt;50),H894-3,H894)))))</f>
        <v/>
      </c>
      <c r="K894" s="57" t="n"/>
    </row>
    <row r="895" ht="15" customHeight="1">
      <c r="A895" s="10" t="n"/>
      <c r="B895" s="2" t="n">
        <v>892</v>
      </c>
      <c r="C895" s="3" t="n"/>
      <c r="D895" s="3" t="n"/>
      <c r="E895" s="2" t="n"/>
      <c r="F895" s="5">
        <f>IF(E895="","",E895*1000)</f>
        <v/>
      </c>
      <c r="G895" s="23" t="n"/>
      <c r="H895" s="56">
        <f>IF(I895&lt;&gt;"",I895,IF(G895="","",IF(ROUND(MOD(G895,1),1)&lt;=0.4,INT(G895)-1,INT(G895))))</f>
        <v/>
      </c>
      <c r="I895" s="56" t="n"/>
      <c r="J895" s="57">
        <f>IF(H895="","",IF(LOWER(A895)="gl",H895-2,IF(H895&gt;=60,H895-5,IF(AND(H895&gt;=50,H895&lt;60),H895-4,IF(AND(H895&gt;=10,H895&lt;50),H895-3,H895)))))</f>
        <v/>
      </c>
      <c r="K895" s="57" t="n"/>
    </row>
    <row r="896" ht="15" customHeight="1">
      <c r="A896" s="10" t="n"/>
      <c r="B896" s="2" t="n">
        <v>893</v>
      </c>
      <c r="C896" s="3" t="n"/>
      <c r="D896" s="3" t="n"/>
      <c r="E896" s="2" t="n"/>
      <c r="F896" s="5">
        <f>IF(E896="","",E896*1000)</f>
        <v/>
      </c>
      <c r="G896" s="23" t="n"/>
      <c r="H896" s="56">
        <f>IF(I896&lt;&gt;"",I896,IF(G896="","",IF(ROUND(MOD(G896,1),1)&lt;=0.4,INT(G896)-1,INT(G896))))</f>
        <v/>
      </c>
      <c r="I896" s="56" t="n"/>
      <c r="J896" s="57">
        <f>IF(H896="","",IF(LOWER(A896)="gl",H896-2,IF(H896&gt;=60,H896-5,IF(AND(H896&gt;=50,H896&lt;60),H896-4,IF(AND(H896&gt;=10,H896&lt;50),H896-3,H896)))))</f>
        <v/>
      </c>
      <c r="K896" s="57" t="n"/>
    </row>
    <row r="897" ht="15" customHeight="1">
      <c r="A897" s="10" t="n"/>
      <c r="B897" s="2" t="n">
        <v>894</v>
      </c>
      <c r="C897" s="3" t="n"/>
      <c r="D897" s="3" t="n"/>
      <c r="E897" s="2" t="n"/>
      <c r="F897" s="5">
        <f>IF(E897="","",E897*1000)</f>
        <v/>
      </c>
      <c r="G897" s="23" t="n"/>
      <c r="H897" s="56">
        <f>IF(I897&lt;&gt;"",I897,IF(G897="","",IF(ROUND(MOD(G897,1),1)&lt;=0.4,INT(G897)-1,INT(G897))))</f>
        <v/>
      </c>
      <c r="I897" s="56" t="n"/>
      <c r="J897" s="57">
        <f>IF(H897="","",IF(LOWER(A897)="gl",H897-2,IF(H897&gt;=60,H897-5,IF(AND(H897&gt;=50,H897&lt;60),H897-4,IF(AND(H897&gt;=10,H897&lt;50),H897-3,H897)))))</f>
        <v/>
      </c>
      <c r="K897" s="57" t="n"/>
    </row>
    <row r="898" ht="15" customHeight="1">
      <c r="A898" s="10" t="n"/>
      <c r="B898" s="2" t="n">
        <v>895</v>
      </c>
      <c r="C898" s="3" t="n"/>
      <c r="D898" s="3" t="n"/>
      <c r="E898" s="2" t="n"/>
      <c r="F898" s="5">
        <f>IF(E898="","",E898*1000)</f>
        <v/>
      </c>
      <c r="G898" s="23" t="n"/>
      <c r="H898" s="56">
        <f>IF(I898&lt;&gt;"",I898,IF(G898="","",IF(ROUND(MOD(G898,1),1)&lt;=0.4,INT(G898)-1,INT(G898))))</f>
        <v/>
      </c>
      <c r="I898" s="56" t="n"/>
      <c r="J898" s="57">
        <f>IF(H898="","",IF(LOWER(A898)="gl",H898-2,IF(H898&gt;=60,H898-5,IF(AND(H898&gt;=50,H898&lt;60),H898-4,IF(AND(H898&gt;=10,H898&lt;50),H898-3,H898)))))</f>
        <v/>
      </c>
      <c r="K898" s="57" t="n"/>
    </row>
    <row r="899" ht="15" customHeight="1">
      <c r="A899" s="10" t="n"/>
      <c r="B899" s="2" t="n">
        <v>896</v>
      </c>
      <c r="C899" s="3" t="n"/>
      <c r="D899" s="3" t="n"/>
      <c r="E899" s="2" t="n"/>
      <c r="F899" s="5">
        <f>IF(E899="","",E899*1000)</f>
        <v/>
      </c>
      <c r="G899" s="23" t="n"/>
      <c r="H899" s="56">
        <f>IF(I899&lt;&gt;"",I899,IF(G899="","",IF(ROUND(MOD(G899,1),1)&lt;=0.4,INT(G899)-1,INT(G899))))</f>
        <v/>
      </c>
      <c r="I899" s="56" t="n"/>
      <c r="J899" s="57">
        <f>IF(H899="","",IF(LOWER(A899)="gl",H899-2,IF(H899&gt;=60,H899-5,IF(AND(H899&gt;=50,H899&lt;60),H899-4,IF(AND(H899&gt;=10,H899&lt;50),H899-3,H899)))))</f>
        <v/>
      </c>
      <c r="K899" s="57" t="n"/>
    </row>
    <row r="900" ht="15" customHeight="1">
      <c r="A900" s="10" t="n"/>
      <c r="B900" s="2" t="n">
        <v>897</v>
      </c>
      <c r="C900" s="3" t="n"/>
      <c r="D900" s="3" t="n"/>
      <c r="E900" s="2" t="n"/>
      <c r="F900" s="5">
        <f>IF(E900="","",E900*1000)</f>
        <v/>
      </c>
      <c r="G900" s="23" t="n"/>
      <c r="H900" s="56">
        <f>IF(I900&lt;&gt;"",I900,IF(G900="","",IF(ROUND(MOD(G900,1),1)&lt;=0.4,INT(G900)-1,INT(G900))))</f>
        <v/>
      </c>
      <c r="I900" s="56" t="n"/>
      <c r="J900" s="57">
        <f>IF(H900="","",IF(LOWER(A900)="gl",H900-2,IF(H900&gt;=60,H900-5,IF(AND(H900&gt;=50,H900&lt;60),H900-4,IF(AND(H900&gt;=10,H900&lt;50),H900-3,H900)))))</f>
        <v/>
      </c>
      <c r="K900" s="57" t="n"/>
    </row>
    <row r="901" ht="15" customHeight="1">
      <c r="A901" s="10" t="n"/>
      <c r="B901" s="2" t="n">
        <v>898</v>
      </c>
      <c r="C901" s="3" t="n"/>
      <c r="D901" s="3" t="n"/>
      <c r="E901" s="2" t="n"/>
      <c r="F901" s="5">
        <f>IF(E901="","",E901*1000)</f>
        <v/>
      </c>
      <c r="G901" s="23" t="n"/>
      <c r="H901" s="56">
        <f>IF(I901&lt;&gt;"",I901,IF(G901="","",IF(ROUND(MOD(G901,1),1)&lt;=0.4,INT(G901)-1,INT(G901))))</f>
        <v/>
      </c>
      <c r="I901" s="56" t="n"/>
      <c r="J901" s="57">
        <f>IF(H901="","",IF(LOWER(A901)="gl",H901-2,IF(H901&gt;=60,H901-5,IF(AND(H901&gt;=50,H901&lt;60),H901-4,IF(AND(H901&gt;=10,H901&lt;50),H901-3,H901)))))</f>
        <v/>
      </c>
      <c r="K901" s="57" t="n"/>
    </row>
    <row r="902" ht="15" customHeight="1">
      <c r="A902" s="10" t="n"/>
      <c r="B902" s="2" t="n">
        <v>899</v>
      </c>
      <c r="C902" s="3" t="n"/>
      <c r="D902" s="3" t="n"/>
      <c r="E902" s="2" t="n"/>
      <c r="F902" s="5">
        <f>IF(E902="","",E902*1000)</f>
        <v/>
      </c>
      <c r="G902" s="23" t="n"/>
      <c r="H902" s="56">
        <f>IF(I902&lt;&gt;"",I902,IF(G902="","",IF(ROUND(MOD(G902,1),1)&lt;=0.4,INT(G902)-1,INT(G902))))</f>
        <v/>
      </c>
      <c r="I902" s="56" t="n"/>
      <c r="J902" s="57">
        <f>IF(H902="","",IF(LOWER(A902)="gl",H902-2,IF(H902&gt;=60,H902-5,IF(AND(H902&gt;=50,H902&lt;60),H902-4,IF(AND(H902&gt;=10,H902&lt;50),H902-3,H902)))))</f>
        <v/>
      </c>
      <c r="K902" s="57" t="n"/>
    </row>
    <row r="903" ht="15" customHeight="1">
      <c r="A903" s="10" t="n"/>
      <c r="B903" s="2" t="n">
        <v>900</v>
      </c>
      <c r="C903" s="3" t="n"/>
      <c r="D903" s="3" t="n"/>
      <c r="E903" s="2" t="n"/>
      <c r="F903" s="5">
        <f>IF(E903="","",E903*1000)</f>
        <v/>
      </c>
      <c r="G903" s="23" t="n"/>
      <c r="H903" s="56">
        <f>IF(I903&lt;&gt;"",I903,IF(G903="","",IF(ROUND(MOD(G903,1),1)&lt;=0.4,INT(G903)-1,INT(G903))))</f>
        <v/>
      </c>
      <c r="I903" s="56" t="n"/>
      <c r="J903" s="57">
        <f>IF(H903="","",IF(LOWER(A903)="gl",H903-2,IF(H903&gt;=60,H903-5,IF(AND(H903&gt;=50,H903&lt;60),H903-4,IF(AND(H903&gt;=10,H903&lt;50),H903-3,H903)))))</f>
        <v/>
      </c>
      <c r="K903" s="57" t="n"/>
    </row>
    <row r="904" ht="15" customHeight="1">
      <c r="A904" s="10" t="n"/>
      <c r="B904" s="2" t="n">
        <v>901</v>
      </c>
      <c r="C904" s="3" t="n"/>
      <c r="D904" s="3" t="n"/>
      <c r="E904" s="2" t="n"/>
      <c r="F904" s="5">
        <f>IF(E904="","",E904*1000)</f>
        <v/>
      </c>
      <c r="G904" s="23" t="n"/>
      <c r="H904" s="56">
        <f>IF(I904&lt;&gt;"",I904,IF(G904="","",IF(ROUND(MOD(G904,1),1)&lt;=0.4,INT(G904)-1,INT(G904))))</f>
        <v/>
      </c>
      <c r="I904" s="56" t="n"/>
      <c r="J904" s="57">
        <f>IF(H904="","",IF(LOWER(A904)="gl",H904-2,IF(H904&gt;=60,H904-5,IF(AND(H904&gt;=50,H904&lt;60),H904-4,IF(AND(H904&gt;=10,H904&lt;50),H904-3,H904)))))</f>
        <v/>
      </c>
      <c r="K904" s="57" t="n"/>
    </row>
    <row r="905" ht="15" customHeight="1">
      <c r="A905" s="10" t="n"/>
      <c r="B905" s="2" t="n">
        <v>902</v>
      </c>
      <c r="C905" s="3" t="n"/>
      <c r="D905" s="3" t="n"/>
      <c r="E905" s="2" t="n"/>
      <c r="F905" s="5">
        <f>IF(E905="","",E905*1000)</f>
        <v/>
      </c>
      <c r="G905" s="23" t="n"/>
      <c r="H905" s="56">
        <f>IF(I905&lt;&gt;"",I905,IF(G905="","",IF(ROUND(MOD(G905,1),1)&lt;=0.4,INT(G905)-1,INT(G905))))</f>
        <v/>
      </c>
      <c r="I905" s="56" t="n"/>
      <c r="J905" s="57">
        <f>IF(H905="","",IF(LOWER(A905)="gl",H905-2,IF(H905&gt;=60,H905-5,IF(AND(H905&gt;=50,H905&lt;60),H905-4,IF(AND(H905&gt;=10,H905&lt;50),H905-3,H905)))))</f>
        <v/>
      </c>
      <c r="K905" s="57" t="n"/>
    </row>
    <row r="906" ht="15" customHeight="1">
      <c r="A906" s="10" t="n"/>
      <c r="B906" s="2" t="n">
        <v>903</v>
      </c>
      <c r="C906" s="3" t="n"/>
      <c r="D906" s="3" t="n"/>
      <c r="E906" s="2" t="n"/>
      <c r="F906" s="5">
        <f>IF(E906="","",E906*1000)</f>
        <v/>
      </c>
      <c r="G906" s="23" t="n"/>
      <c r="H906" s="56">
        <f>IF(I906&lt;&gt;"",I906,IF(G906="","",IF(ROUND(MOD(G906,1),1)&lt;=0.4,INT(G906)-1,INT(G906))))</f>
        <v/>
      </c>
      <c r="I906" s="56" t="n"/>
      <c r="J906" s="57">
        <f>IF(H906="","",IF(LOWER(A906)="gl",H906-2,IF(H906&gt;=60,H906-5,IF(AND(H906&gt;=50,H906&lt;60),H906-4,IF(AND(H906&gt;=10,H906&lt;50),H906-3,H906)))))</f>
        <v/>
      </c>
      <c r="K906" s="57" t="n"/>
    </row>
    <row r="907" ht="15" customHeight="1">
      <c r="A907" s="10" t="n"/>
      <c r="B907" s="2" t="n">
        <v>904</v>
      </c>
      <c r="C907" s="3" t="n"/>
      <c r="D907" s="3" t="n"/>
      <c r="E907" s="2" t="n"/>
      <c r="F907" s="5">
        <f>IF(E907="","",E907*1000)</f>
        <v/>
      </c>
      <c r="G907" s="23" t="n"/>
      <c r="H907" s="56">
        <f>IF(I907&lt;&gt;"",I907,IF(G907="","",IF(ROUND(MOD(G907,1),1)&lt;=0.4,INT(G907)-1,INT(G907))))</f>
        <v/>
      </c>
      <c r="I907" s="56" t="n"/>
      <c r="J907" s="57">
        <f>IF(H907="","",IF(LOWER(A907)="gl",H907-2,IF(H907&gt;=60,H907-5,IF(AND(H907&gt;=50,H907&lt;60),H907-4,IF(AND(H907&gt;=10,H907&lt;50),H907-3,H907)))))</f>
        <v/>
      </c>
      <c r="K907" s="57" t="n"/>
    </row>
    <row r="908" ht="15" customHeight="1">
      <c r="A908" s="10" t="n"/>
      <c r="B908" s="2" t="n">
        <v>905</v>
      </c>
      <c r="C908" s="3" t="n"/>
      <c r="D908" s="3" t="n"/>
      <c r="E908" s="2" t="n"/>
      <c r="F908" s="5">
        <f>IF(E908="","",E908*1000)</f>
        <v/>
      </c>
      <c r="G908" s="23" t="n"/>
      <c r="H908" s="56">
        <f>IF(I908&lt;&gt;"",I908,IF(G908="","",IF(ROUND(MOD(G908,1),1)&lt;=0.4,INT(G908)-1,INT(G908))))</f>
        <v/>
      </c>
      <c r="I908" s="56" t="n"/>
      <c r="J908" s="57">
        <f>IF(H908="","",IF(LOWER(A908)="gl",H908-2,IF(H908&gt;=60,H908-5,IF(AND(H908&gt;=50,H908&lt;60),H908-4,IF(AND(H908&gt;=10,H908&lt;50),H908-3,H908)))))</f>
        <v/>
      </c>
      <c r="K908" s="57" t="n"/>
    </row>
    <row r="909" ht="15" customHeight="1">
      <c r="A909" s="10" t="n"/>
      <c r="B909" s="2" t="n">
        <v>906</v>
      </c>
      <c r="C909" s="3" t="n"/>
      <c r="D909" s="3" t="n"/>
      <c r="E909" s="2" t="n"/>
      <c r="F909" s="5">
        <f>IF(E909="","",E909*1000)</f>
        <v/>
      </c>
      <c r="G909" s="23" t="n"/>
      <c r="H909" s="56">
        <f>IF(I909&lt;&gt;"",I909,IF(G909="","",IF(ROUND(MOD(G909,1),1)&lt;=0.4,INT(G909)-1,INT(G909))))</f>
        <v/>
      </c>
      <c r="I909" s="56" t="n"/>
      <c r="J909" s="57">
        <f>IF(H909="","",IF(LOWER(A909)="gl",H909-2,IF(H909&gt;=60,H909-5,IF(AND(H909&gt;=50,H909&lt;60),H909-4,IF(AND(H909&gt;=10,H909&lt;50),H909-3,H909)))))</f>
        <v/>
      </c>
      <c r="K909" s="57" t="n"/>
    </row>
    <row r="910" ht="15" customHeight="1">
      <c r="A910" s="10" t="n"/>
      <c r="B910" s="2" t="n">
        <v>907</v>
      </c>
      <c r="C910" s="3" t="n"/>
      <c r="D910" s="3" t="n"/>
      <c r="E910" s="2" t="n"/>
      <c r="F910" s="5">
        <f>IF(E910="","",E910*1000)</f>
        <v/>
      </c>
      <c r="G910" s="23" t="n"/>
      <c r="H910" s="56">
        <f>IF(I910&lt;&gt;"",I910,IF(G910="","",IF(ROUND(MOD(G910,1),1)&lt;=0.4,INT(G910)-1,INT(G910))))</f>
        <v/>
      </c>
      <c r="I910" s="56" t="n"/>
      <c r="J910" s="57">
        <f>IF(H910="","",IF(LOWER(A910)="gl",H910-2,IF(H910&gt;=60,H910-5,IF(AND(H910&gt;=50,H910&lt;60),H910-4,IF(AND(H910&gt;=10,H910&lt;50),H910-3,H910)))))</f>
        <v/>
      </c>
      <c r="K910" s="57" t="n"/>
    </row>
    <row r="911" ht="15" customHeight="1">
      <c r="A911" s="10" t="n"/>
      <c r="B911" s="2" t="n">
        <v>908</v>
      </c>
      <c r="C911" s="3" t="n"/>
      <c r="D911" s="3" t="n"/>
      <c r="E911" s="2" t="n"/>
      <c r="F911" s="5">
        <f>IF(E911="","",E911*1000)</f>
        <v/>
      </c>
      <c r="G911" s="23" t="n"/>
      <c r="H911" s="56">
        <f>IF(I911&lt;&gt;"",I911,IF(G911="","",IF(ROUND(MOD(G911,1),1)&lt;=0.4,INT(G911)-1,INT(G911))))</f>
        <v/>
      </c>
      <c r="I911" s="56" t="n"/>
      <c r="J911" s="57">
        <f>IF(H911="","",IF(LOWER(A911)="gl",H911-2,IF(H911&gt;=60,H911-5,IF(AND(H911&gt;=50,H911&lt;60),H911-4,IF(AND(H911&gt;=10,H911&lt;50),H911-3,H911)))))</f>
        <v/>
      </c>
      <c r="K911" s="57" t="n"/>
    </row>
    <row r="912" ht="15" customHeight="1">
      <c r="A912" s="10" t="n"/>
      <c r="B912" s="2" t="n">
        <v>909</v>
      </c>
      <c r="C912" s="3" t="n"/>
      <c r="D912" s="3" t="n"/>
      <c r="E912" s="2" t="n"/>
      <c r="F912" s="5">
        <f>IF(E912="","",E912*1000)</f>
        <v/>
      </c>
      <c r="G912" s="23" t="n"/>
      <c r="H912" s="56">
        <f>IF(I912&lt;&gt;"",I912,IF(G912="","",IF(ROUND(MOD(G912,1),1)&lt;=0.4,INT(G912)-1,INT(G912))))</f>
        <v/>
      </c>
      <c r="I912" s="56" t="n"/>
      <c r="J912" s="57">
        <f>IF(H912="","",IF(LOWER(A912)="gl",H912-2,IF(H912&gt;=60,H912-5,IF(AND(H912&gt;=50,H912&lt;60),H912-4,IF(AND(H912&gt;=10,H912&lt;50),H912-3,H912)))))</f>
        <v/>
      </c>
      <c r="K912" s="57" t="n"/>
    </row>
    <row r="913" ht="15" customHeight="1">
      <c r="A913" s="10" t="n"/>
      <c r="B913" s="2" t="n">
        <v>910</v>
      </c>
      <c r="C913" s="3" t="n"/>
      <c r="D913" s="3" t="n"/>
      <c r="E913" s="2" t="n"/>
      <c r="F913" s="5">
        <f>IF(E913="","",E913*1000)</f>
        <v/>
      </c>
      <c r="G913" s="23" t="n"/>
      <c r="H913" s="56">
        <f>IF(I913&lt;&gt;"",I913,IF(G913="","",IF(ROUND(MOD(G913,1),1)&lt;=0.4,INT(G913)-1,INT(G913))))</f>
        <v/>
      </c>
      <c r="I913" s="56" t="n"/>
      <c r="J913" s="57">
        <f>IF(H913="","",IF(LOWER(A913)="gl",H913-2,IF(H913&gt;=60,H913-5,IF(AND(H913&gt;=50,H913&lt;60),H913-4,IF(AND(H913&gt;=10,H913&lt;50),H913-3,H913)))))</f>
        <v/>
      </c>
      <c r="K913" s="57" t="n"/>
    </row>
    <row r="914" ht="15" customHeight="1">
      <c r="A914" s="10" t="n"/>
      <c r="B914" s="2" t="n">
        <v>911</v>
      </c>
      <c r="C914" s="3" t="n"/>
      <c r="D914" s="3" t="n"/>
      <c r="E914" s="2" t="n"/>
      <c r="F914" s="5">
        <f>IF(E914="","",E914*1000)</f>
        <v/>
      </c>
      <c r="G914" s="23" t="n"/>
      <c r="H914" s="56">
        <f>IF(I914&lt;&gt;"",I914,IF(G914="","",IF(ROUND(MOD(G914,1),1)&lt;=0.4,INT(G914)-1,INT(G914))))</f>
        <v/>
      </c>
      <c r="I914" s="56" t="n"/>
      <c r="J914" s="57">
        <f>IF(H914="","",IF(LOWER(A914)="gl",H914-2,IF(H914&gt;=60,H914-5,IF(AND(H914&gt;=50,H914&lt;60),H914-4,IF(AND(H914&gt;=10,H914&lt;50),H914-3,H914)))))</f>
        <v/>
      </c>
      <c r="K914" s="57" t="n"/>
    </row>
    <row r="915" ht="15" customHeight="1">
      <c r="A915" s="10" t="n"/>
      <c r="B915" s="2" t="n">
        <v>912</v>
      </c>
      <c r="C915" s="3" t="n"/>
      <c r="D915" s="3" t="n"/>
      <c r="E915" s="2" t="n"/>
      <c r="F915" s="5">
        <f>IF(E915="","",E915*1000)</f>
        <v/>
      </c>
      <c r="G915" s="23" t="n"/>
      <c r="H915" s="56">
        <f>IF(I915&lt;&gt;"",I915,IF(G915="","",IF(ROUND(MOD(G915,1),1)&lt;=0.4,INT(G915)-1,INT(G915))))</f>
        <v/>
      </c>
      <c r="I915" s="56" t="n"/>
      <c r="J915" s="57">
        <f>IF(H915="","",IF(LOWER(A915)="gl",H915-2,IF(H915&gt;=60,H915-5,IF(AND(H915&gt;=50,H915&lt;60),H915-4,IF(AND(H915&gt;=10,H915&lt;50),H915-3,H915)))))</f>
        <v/>
      </c>
      <c r="K915" s="57" t="n"/>
    </row>
    <row r="916" ht="15" customHeight="1">
      <c r="A916" s="10" t="n"/>
      <c r="B916" s="2" t="n">
        <v>913</v>
      </c>
      <c r="C916" s="3" t="n"/>
      <c r="D916" s="3" t="n"/>
      <c r="E916" s="2" t="n"/>
      <c r="F916" s="5">
        <f>IF(E916="","",E916*1000)</f>
        <v/>
      </c>
      <c r="G916" s="23" t="n"/>
      <c r="H916" s="56">
        <f>IF(I916&lt;&gt;"",I916,IF(G916="","",IF(ROUND(MOD(G916,1),1)&lt;=0.4,INT(G916)-1,INT(G916))))</f>
        <v/>
      </c>
      <c r="I916" s="56" t="n"/>
      <c r="J916" s="57">
        <f>IF(H916="","",IF(LOWER(A916)="gl",H916-2,IF(H916&gt;=60,H916-5,IF(AND(H916&gt;=50,H916&lt;60),H916-4,IF(AND(H916&gt;=10,H916&lt;50),H916-3,H916)))))</f>
        <v/>
      </c>
      <c r="K916" s="57" t="n"/>
    </row>
    <row r="917" ht="15" customHeight="1">
      <c r="A917" s="10" t="n"/>
      <c r="B917" s="2" t="n">
        <v>914</v>
      </c>
      <c r="C917" s="3" t="n"/>
      <c r="D917" s="3" t="n"/>
      <c r="E917" s="2" t="n"/>
      <c r="F917" s="5">
        <f>IF(E917="","",E917*1000)</f>
        <v/>
      </c>
      <c r="G917" s="23" t="n"/>
      <c r="H917" s="56">
        <f>IF(I917&lt;&gt;"",I917,IF(G917="","",IF(ROUND(MOD(G917,1),1)&lt;=0.4,INT(G917)-1,INT(G917))))</f>
        <v/>
      </c>
      <c r="I917" s="56" t="n"/>
      <c r="J917" s="57">
        <f>IF(H917="","",IF(LOWER(A917)="gl",H917-2,IF(H917&gt;=60,H917-5,IF(AND(H917&gt;=50,H917&lt;60),H917-4,IF(AND(H917&gt;=10,H917&lt;50),H917-3,H917)))))</f>
        <v/>
      </c>
      <c r="K917" s="57" t="n"/>
    </row>
    <row r="918" ht="15" customHeight="1">
      <c r="A918" s="10" t="n"/>
      <c r="B918" s="2" t="n">
        <v>915</v>
      </c>
      <c r="C918" s="3" t="n"/>
      <c r="D918" s="3" t="n"/>
      <c r="E918" s="2" t="n"/>
      <c r="F918" s="5">
        <f>IF(E918="","",E918*1000)</f>
        <v/>
      </c>
      <c r="G918" s="23" t="n"/>
      <c r="H918" s="56">
        <f>IF(I918&lt;&gt;"",I918,IF(G918="","",IF(ROUND(MOD(G918,1),1)&lt;=0.4,INT(G918)-1,INT(G918))))</f>
        <v/>
      </c>
      <c r="I918" s="56" t="n"/>
      <c r="J918" s="57">
        <f>IF(H918="","",IF(LOWER(A918)="gl",H918-2,IF(H918&gt;=60,H918-5,IF(AND(H918&gt;=50,H918&lt;60),H918-4,IF(AND(H918&gt;=10,H918&lt;50),H918-3,H918)))))</f>
        <v/>
      </c>
      <c r="K918" s="57" t="n"/>
    </row>
    <row r="919" ht="15" customHeight="1">
      <c r="A919" s="10" t="n"/>
      <c r="B919" s="2" t="n">
        <v>916</v>
      </c>
      <c r="C919" s="3" t="n"/>
      <c r="D919" s="3" t="n"/>
      <c r="E919" s="2" t="n"/>
      <c r="F919" s="5">
        <f>IF(E919="","",E919*1000)</f>
        <v/>
      </c>
      <c r="G919" s="23" t="n"/>
      <c r="H919" s="56">
        <f>IF(I919&lt;&gt;"",I919,IF(G919="","",IF(ROUND(MOD(G919,1),1)&lt;=0.4,INT(G919)-1,INT(G919))))</f>
        <v/>
      </c>
      <c r="I919" s="56" t="n"/>
      <c r="J919" s="57">
        <f>IF(H919="","",IF(LOWER(A919)="gl",H919-2,IF(H919&gt;=60,H919-5,IF(AND(H919&gt;=50,H919&lt;60),H919-4,IF(AND(H919&gt;=10,H919&lt;50),H919-3,H919)))))</f>
        <v/>
      </c>
      <c r="K919" s="57" t="n"/>
    </row>
    <row r="920" ht="15" customHeight="1">
      <c r="A920" s="10" t="n"/>
      <c r="B920" s="2" t="n">
        <v>917</v>
      </c>
      <c r="C920" s="3" t="n"/>
      <c r="D920" s="3" t="n"/>
      <c r="E920" s="2" t="n"/>
      <c r="F920" s="5">
        <f>IF(E920="","",E920*1000)</f>
        <v/>
      </c>
      <c r="G920" s="23" t="n"/>
      <c r="H920" s="56">
        <f>IF(I920&lt;&gt;"",I920,IF(G920="","",IF(ROUND(MOD(G920,1),1)&lt;=0.4,INT(G920)-1,INT(G920))))</f>
        <v/>
      </c>
      <c r="I920" s="56" t="n"/>
      <c r="J920" s="57">
        <f>IF(H920="","",IF(LOWER(A920)="gl",H920-2,IF(H920&gt;=60,H920-5,IF(AND(H920&gt;=50,H920&lt;60),H920-4,IF(AND(H920&gt;=10,H920&lt;50),H920-3,H920)))))</f>
        <v/>
      </c>
      <c r="K920" s="57" t="n"/>
    </row>
    <row r="921" ht="15" customHeight="1">
      <c r="A921" s="10" t="n"/>
      <c r="B921" s="2" t="n">
        <v>918</v>
      </c>
      <c r="C921" s="3" t="n"/>
      <c r="D921" s="3" t="n"/>
      <c r="E921" s="2" t="n"/>
      <c r="F921" s="5">
        <f>IF(E921="","",E921*1000)</f>
        <v/>
      </c>
      <c r="G921" s="23" t="n"/>
      <c r="H921" s="56">
        <f>IF(I921&lt;&gt;"",I921,IF(G921="","",IF(ROUND(MOD(G921,1),1)&lt;=0.4,INT(G921)-1,INT(G921))))</f>
        <v/>
      </c>
      <c r="I921" s="56" t="n"/>
      <c r="J921" s="57">
        <f>IF(H921="","",IF(LOWER(A921)="gl",H921-2,IF(H921&gt;=60,H921-5,IF(AND(H921&gt;=50,H921&lt;60),H921-4,IF(AND(H921&gt;=10,H921&lt;50),H921-3,H921)))))</f>
        <v/>
      </c>
      <c r="K921" s="57" t="n"/>
    </row>
    <row r="922" ht="15" customHeight="1">
      <c r="A922" s="10" t="n"/>
      <c r="B922" s="2" t="n">
        <v>919</v>
      </c>
      <c r="C922" s="3" t="n"/>
      <c r="D922" s="3" t="n"/>
      <c r="E922" s="2" t="n"/>
      <c r="F922" s="5">
        <f>IF(E922="","",E922*1000)</f>
        <v/>
      </c>
      <c r="G922" s="23" t="n"/>
      <c r="H922" s="56">
        <f>IF(I922&lt;&gt;"",I922,IF(G922="","",IF(ROUND(MOD(G922,1),1)&lt;=0.4,INT(G922)-1,INT(G922))))</f>
        <v/>
      </c>
      <c r="I922" s="56" t="n"/>
      <c r="J922" s="57">
        <f>IF(H922="","",IF(LOWER(A922)="gl",H922-2,IF(H922&gt;=60,H922-5,IF(AND(H922&gt;=50,H922&lt;60),H922-4,IF(AND(H922&gt;=10,H922&lt;50),H922-3,H922)))))</f>
        <v/>
      </c>
      <c r="K922" s="57" t="n"/>
    </row>
    <row r="923" ht="15" customHeight="1">
      <c r="A923" s="10" t="n"/>
      <c r="B923" s="2" t="n">
        <v>920</v>
      </c>
      <c r="C923" s="3" t="n"/>
      <c r="D923" s="3" t="n"/>
      <c r="E923" s="2" t="n"/>
      <c r="F923" s="5">
        <f>IF(E923="","",E923*1000)</f>
        <v/>
      </c>
      <c r="G923" s="23" t="n"/>
      <c r="H923" s="56">
        <f>IF(I923&lt;&gt;"",I923,IF(G923="","",IF(ROUND(MOD(G923,1),1)&lt;=0.4,INT(G923)-1,INT(G923))))</f>
        <v/>
      </c>
      <c r="I923" s="56" t="n"/>
      <c r="J923" s="57">
        <f>IF(H923="","",IF(LOWER(A923)="gl",H923-2,IF(H923&gt;=60,H923-5,IF(AND(H923&gt;=50,H923&lt;60),H923-4,IF(AND(H923&gt;=10,H923&lt;50),H923-3,H923)))))</f>
        <v/>
      </c>
      <c r="K923" s="57" t="n"/>
    </row>
    <row r="924" ht="15" customHeight="1">
      <c r="A924" s="10" t="n"/>
      <c r="B924" s="2" t="n">
        <v>921</v>
      </c>
      <c r="C924" s="3" t="n"/>
      <c r="D924" s="3" t="n"/>
      <c r="E924" s="2" t="n"/>
      <c r="F924" s="5">
        <f>IF(E924="","",E924*1000)</f>
        <v/>
      </c>
      <c r="G924" s="23" t="n"/>
      <c r="H924" s="56">
        <f>IF(I924&lt;&gt;"",I924,IF(G924="","",IF(ROUND(MOD(G924,1),1)&lt;=0.4,INT(G924)-1,INT(G924))))</f>
        <v/>
      </c>
      <c r="I924" s="56" t="n"/>
      <c r="J924" s="57">
        <f>IF(H924="","",IF(LOWER(A924)="gl",H924-2,IF(H924&gt;=60,H924-5,IF(AND(H924&gt;=50,H924&lt;60),H924-4,IF(AND(H924&gt;=10,H924&lt;50),H924-3,H924)))))</f>
        <v/>
      </c>
      <c r="K924" s="57" t="n"/>
    </row>
    <row r="925" ht="15" customHeight="1">
      <c r="A925" s="10" t="n"/>
      <c r="B925" s="2" t="n">
        <v>922</v>
      </c>
      <c r="C925" s="3" t="n"/>
      <c r="D925" s="3" t="n"/>
      <c r="E925" s="2" t="n"/>
      <c r="F925" s="5">
        <f>IF(E925="","",E925*1000)</f>
        <v/>
      </c>
      <c r="G925" s="23" t="n"/>
      <c r="H925" s="56">
        <f>IF(I925&lt;&gt;"",I925,IF(G925="","",IF(ROUND(MOD(G925,1),1)&lt;=0.4,INT(G925)-1,INT(G925))))</f>
        <v/>
      </c>
      <c r="I925" s="56" t="n"/>
      <c r="J925" s="57">
        <f>IF(H925="","",IF(LOWER(A925)="gl",H925-2,IF(H925&gt;=60,H925-5,IF(AND(H925&gt;=50,H925&lt;60),H925-4,IF(AND(H925&gt;=10,H925&lt;50),H925-3,H925)))))</f>
        <v/>
      </c>
      <c r="K925" s="57" t="n"/>
    </row>
    <row r="926" ht="15" customHeight="1">
      <c r="A926" s="10" t="n"/>
      <c r="B926" s="2" t="n">
        <v>923</v>
      </c>
      <c r="C926" s="3" t="n"/>
      <c r="D926" s="3" t="n"/>
      <c r="E926" s="2" t="n"/>
      <c r="F926" s="5">
        <f>IF(E926="","",E926*1000)</f>
        <v/>
      </c>
      <c r="G926" s="23" t="n"/>
      <c r="H926" s="56">
        <f>IF(I926&lt;&gt;"",I926,IF(G926="","",IF(ROUND(MOD(G926,1),1)&lt;=0.4,INT(G926)-1,INT(G926))))</f>
        <v/>
      </c>
      <c r="I926" s="56" t="n"/>
      <c r="J926" s="57">
        <f>IF(H926="","",IF(LOWER(A926)="gl",H926-2,IF(H926&gt;=60,H926-5,IF(AND(H926&gt;=50,H926&lt;60),H926-4,IF(AND(H926&gt;=10,H926&lt;50),H926-3,H926)))))</f>
        <v/>
      </c>
      <c r="K926" s="57" t="n"/>
    </row>
    <row r="927" ht="15" customHeight="1">
      <c r="A927" s="10" t="n"/>
      <c r="B927" s="2" t="n">
        <v>924</v>
      </c>
      <c r="C927" s="3" t="n"/>
      <c r="D927" s="3" t="n"/>
      <c r="E927" s="2" t="n"/>
      <c r="F927" s="5">
        <f>IF(E927="","",E927*1000)</f>
        <v/>
      </c>
      <c r="G927" s="23" t="n"/>
      <c r="H927" s="56">
        <f>IF(I927&lt;&gt;"",I927,IF(G927="","",IF(ROUND(MOD(G927,1),1)&lt;=0.4,INT(G927)-1,INT(G927))))</f>
        <v/>
      </c>
      <c r="I927" s="56" t="n"/>
      <c r="J927" s="57">
        <f>IF(H927="","",IF(LOWER(A927)="gl",H927-2,IF(H927&gt;=60,H927-5,IF(AND(H927&gt;=50,H927&lt;60),H927-4,IF(AND(H927&gt;=10,H927&lt;50),H927-3,H927)))))</f>
        <v/>
      </c>
      <c r="K927" s="57" t="n"/>
    </row>
    <row r="928" ht="15" customHeight="1">
      <c r="A928" s="10" t="n"/>
      <c r="B928" s="2" t="n">
        <v>925</v>
      </c>
      <c r="C928" s="3" t="n"/>
      <c r="D928" s="3" t="n"/>
      <c r="E928" s="2" t="n"/>
      <c r="F928" s="5">
        <f>IF(E928="","",E928*1000)</f>
        <v/>
      </c>
      <c r="G928" s="23" t="n"/>
      <c r="H928" s="56">
        <f>IF(I928&lt;&gt;"",I928,IF(G928="","",IF(ROUND(MOD(G928,1),1)&lt;=0.4,INT(G928)-1,INT(G928))))</f>
        <v/>
      </c>
      <c r="I928" s="56" t="n"/>
      <c r="J928" s="57">
        <f>IF(H928="","",IF(LOWER(A928)="gl",H928-2,IF(H928&gt;=60,H928-5,IF(AND(H928&gt;=50,H928&lt;60),H928-4,IF(AND(H928&gt;=10,H928&lt;50),H928-3,H928)))))</f>
        <v/>
      </c>
      <c r="K928" s="57" t="n"/>
    </row>
    <row r="929" ht="15" customHeight="1">
      <c r="A929" s="10" t="n"/>
      <c r="B929" s="2" t="n">
        <v>926</v>
      </c>
      <c r="C929" s="3" t="n"/>
      <c r="D929" s="3" t="n"/>
      <c r="E929" s="2" t="n"/>
      <c r="F929" s="5">
        <f>IF(E929="","",E929*1000)</f>
        <v/>
      </c>
      <c r="G929" s="23" t="n"/>
      <c r="H929" s="56">
        <f>IF(I929&lt;&gt;"",I929,IF(G929="","",IF(ROUND(MOD(G929,1),1)&lt;=0.4,INT(G929)-1,INT(G929))))</f>
        <v/>
      </c>
      <c r="I929" s="56" t="n"/>
      <c r="J929" s="57">
        <f>IF(H929="","",IF(LOWER(A929)="gl",H929-2,IF(H929&gt;=60,H929-5,IF(AND(H929&gt;=50,H929&lt;60),H929-4,IF(AND(H929&gt;=10,H929&lt;50),H929-3,H929)))))</f>
        <v/>
      </c>
      <c r="K929" s="57" t="n"/>
    </row>
    <row r="930" ht="15" customHeight="1">
      <c r="A930" s="10" t="n"/>
      <c r="B930" s="2" t="n">
        <v>927</v>
      </c>
      <c r="C930" s="3" t="n"/>
      <c r="D930" s="3" t="n"/>
      <c r="E930" s="2" t="n"/>
      <c r="F930" s="5">
        <f>IF(E930="","",E930*1000)</f>
        <v/>
      </c>
      <c r="G930" s="23" t="n"/>
      <c r="H930" s="56">
        <f>IF(I930&lt;&gt;"",I930,IF(G930="","",IF(ROUND(MOD(G930,1),1)&lt;=0.4,INT(G930)-1,INT(G930))))</f>
        <v/>
      </c>
      <c r="I930" s="56" t="n"/>
      <c r="J930" s="57">
        <f>IF(H930="","",IF(LOWER(A930)="gl",H930-2,IF(H930&gt;=60,H930-5,IF(AND(H930&gt;=50,H930&lt;60),H930-4,IF(AND(H930&gt;=10,H930&lt;50),H930-3,H930)))))</f>
        <v/>
      </c>
      <c r="K930" s="57" t="n"/>
    </row>
    <row r="931" ht="15" customHeight="1">
      <c r="A931" s="10" t="n"/>
      <c r="B931" s="2" t="n">
        <v>928</v>
      </c>
      <c r="C931" s="3" t="n"/>
      <c r="D931" s="3" t="n"/>
      <c r="E931" s="2" t="n"/>
      <c r="F931" s="5">
        <f>IF(E931="","",E931*1000)</f>
        <v/>
      </c>
      <c r="G931" s="23" t="n"/>
      <c r="H931" s="56">
        <f>IF(I931&lt;&gt;"",I931,IF(G931="","",IF(ROUND(MOD(G931,1),1)&lt;=0.4,INT(G931)-1,INT(G931))))</f>
        <v/>
      </c>
      <c r="I931" s="56" t="n"/>
      <c r="J931" s="57">
        <f>IF(H931="","",IF(LOWER(A931)="gl",H931-2,IF(H931&gt;=60,H931-5,IF(AND(H931&gt;=50,H931&lt;60),H931-4,IF(AND(H931&gt;=10,H931&lt;50),H931-3,H931)))))</f>
        <v/>
      </c>
      <c r="K931" s="57" t="n"/>
    </row>
    <row r="932" ht="15" customHeight="1">
      <c r="A932" s="10" t="n"/>
      <c r="B932" s="2" t="n">
        <v>929</v>
      </c>
      <c r="C932" s="3" t="n"/>
      <c r="D932" s="3" t="n"/>
      <c r="E932" s="2" t="n"/>
      <c r="F932" s="5">
        <f>IF(E932="","",E932*1000)</f>
        <v/>
      </c>
      <c r="G932" s="23" t="n"/>
      <c r="H932" s="56">
        <f>IF(I932&lt;&gt;"",I932,IF(G932="","",IF(ROUND(MOD(G932,1),1)&lt;=0.4,INT(G932)-1,INT(G932))))</f>
        <v/>
      </c>
      <c r="I932" s="56" t="n"/>
      <c r="J932" s="57">
        <f>IF(H932="","",IF(LOWER(A932)="gl",H932-2,IF(H932&gt;=60,H932-5,IF(AND(H932&gt;=50,H932&lt;60),H932-4,IF(AND(H932&gt;=10,H932&lt;50),H932-3,H932)))))</f>
        <v/>
      </c>
      <c r="K932" s="57" t="n"/>
    </row>
    <row r="933" ht="15" customHeight="1">
      <c r="A933" s="10" t="n"/>
      <c r="B933" s="2" t="n">
        <v>930</v>
      </c>
      <c r="C933" s="3" t="n"/>
      <c r="D933" s="3" t="n"/>
      <c r="E933" s="2" t="n"/>
      <c r="F933" s="5">
        <f>IF(E933="","",E933*1000)</f>
        <v/>
      </c>
      <c r="G933" s="23" t="n"/>
      <c r="H933" s="56">
        <f>IF(I933&lt;&gt;"",I933,IF(G933="","",IF(ROUND(MOD(G933,1),1)&lt;=0.4,INT(G933)-1,INT(G933))))</f>
        <v/>
      </c>
      <c r="I933" s="56" t="n"/>
      <c r="J933" s="57">
        <f>IF(H933="","",IF(LOWER(A933)="gl",H933-2,IF(H933&gt;=60,H933-5,IF(AND(H933&gt;=50,H933&lt;60),H933-4,IF(AND(H933&gt;=10,H933&lt;50),H933-3,H933)))))</f>
        <v/>
      </c>
      <c r="K933" s="57" t="n"/>
    </row>
    <row r="934" ht="15" customHeight="1">
      <c r="A934" s="10" t="n"/>
      <c r="B934" s="2" t="n">
        <v>931</v>
      </c>
      <c r="C934" s="3" t="n"/>
      <c r="D934" s="3" t="n"/>
      <c r="E934" s="2" t="n"/>
      <c r="F934" s="5">
        <f>IF(E934="","",E934*1000)</f>
        <v/>
      </c>
      <c r="G934" s="23" t="n"/>
      <c r="H934" s="56">
        <f>IF(I934&lt;&gt;"",I934,IF(G934="","",IF(ROUND(MOD(G934,1),1)&lt;=0.4,INT(G934)-1,INT(G934))))</f>
        <v/>
      </c>
      <c r="I934" s="56" t="n"/>
      <c r="J934" s="57">
        <f>IF(H934="","",IF(LOWER(A934)="gl",H934-2,IF(H934&gt;=60,H934-5,IF(AND(H934&gt;=50,H934&lt;60),H934-4,IF(AND(H934&gt;=10,H934&lt;50),H934-3,H934)))))</f>
        <v/>
      </c>
      <c r="K934" s="57" t="n"/>
    </row>
    <row r="935" ht="15" customHeight="1">
      <c r="A935" s="10" t="n"/>
      <c r="B935" s="2" t="n">
        <v>932</v>
      </c>
      <c r="C935" s="3" t="n"/>
      <c r="D935" s="3" t="n"/>
      <c r="E935" s="2" t="n"/>
      <c r="F935" s="5">
        <f>IF(E935="","",E935*1000)</f>
        <v/>
      </c>
      <c r="G935" s="23" t="n"/>
      <c r="H935" s="56">
        <f>IF(I935&lt;&gt;"",I935,IF(G935="","",IF(ROUND(MOD(G935,1),1)&lt;=0.4,INT(G935)-1,INT(G935))))</f>
        <v/>
      </c>
      <c r="I935" s="56" t="n"/>
      <c r="J935" s="57">
        <f>IF(H935="","",IF(LOWER(A935)="gl",H935-2,IF(H935&gt;=60,H935-5,IF(AND(H935&gt;=50,H935&lt;60),H935-4,IF(AND(H935&gt;=10,H935&lt;50),H935-3,H935)))))</f>
        <v/>
      </c>
      <c r="K935" s="57" t="n"/>
    </row>
    <row r="936" ht="15" customHeight="1">
      <c r="A936" s="10" t="n"/>
      <c r="B936" s="2" t="n">
        <v>933</v>
      </c>
      <c r="C936" s="3" t="n"/>
      <c r="D936" s="3" t="n"/>
      <c r="E936" s="2" t="n"/>
      <c r="F936" s="5">
        <f>IF(E936="","",E936*1000)</f>
        <v/>
      </c>
      <c r="G936" s="23" t="n"/>
      <c r="H936" s="56">
        <f>IF(I936&lt;&gt;"",I936,IF(G936="","",IF(ROUND(MOD(G936,1),1)&lt;=0.4,INT(G936)-1,INT(G936))))</f>
        <v/>
      </c>
      <c r="I936" s="56" t="n"/>
      <c r="J936" s="57">
        <f>IF(H936="","",IF(LOWER(A936)="gl",H936-2,IF(H936&gt;=60,H936-5,IF(AND(H936&gt;=50,H936&lt;60),H936-4,IF(AND(H936&gt;=10,H936&lt;50),H936-3,H936)))))</f>
        <v/>
      </c>
      <c r="K936" s="57" t="n"/>
    </row>
    <row r="937" ht="15" customHeight="1">
      <c r="A937" s="10" t="n"/>
      <c r="B937" s="2" t="n">
        <v>934</v>
      </c>
      <c r="C937" s="3" t="n"/>
      <c r="D937" s="3" t="n"/>
      <c r="E937" s="2" t="n"/>
      <c r="F937" s="5">
        <f>IF(E937="","",E937*1000)</f>
        <v/>
      </c>
      <c r="G937" s="23" t="n"/>
      <c r="H937" s="56">
        <f>IF(I937&lt;&gt;"",I937,IF(G937="","",IF(ROUND(MOD(G937,1),1)&lt;=0.4,INT(G937)-1,INT(G937))))</f>
        <v/>
      </c>
      <c r="I937" s="56" t="n"/>
      <c r="J937" s="57">
        <f>IF(H937="","",IF(LOWER(A937)="gl",H937-2,IF(H937&gt;=60,H937-5,IF(AND(H937&gt;=50,H937&lt;60),H937-4,IF(AND(H937&gt;=10,H937&lt;50),H937-3,H937)))))</f>
        <v/>
      </c>
      <c r="K937" s="57" t="n"/>
    </row>
    <row r="938" ht="15" customHeight="1">
      <c r="A938" s="10" t="n"/>
      <c r="B938" s="2" t="n">
        <v>935</v>
      </c>
      <c r="C938" s="3" t="n"/>
      <c r="D938" s="3" t="n"/>
      <c r="E938" s="2" t="n"/>
      <c r="F938" s="5">
        <f>IF(E938="","",E938*1000)</f>
        <v/>
      </c>
      <c r="G938" s="23" t="n"/>
      <c r="H938" s="56">
        <f>IF(I938&lt;&gt;"",I938,IF(G938="","",IF(ROUND(MOD(G938,1),1)&lt;=0.4,INT(G938)-1,INT(G938))))</f>
        <v/>
      </c>
      <c r="I938" s="56" t="n"/>
      <c r="J938" s="57">
        <f>IF(H938="","",IF(LOWER(A938)="gl",H938-2,IF(H938&gt;=60,H938-5,IF(AND(H938&gt;=50,H938&lt;60),H938-4,IF(AND(H938&gt;=10,H938&lt;50),H938-3,H938)))))</f>
        <v/>
      </c>
      <c r="K938" s="57" t="n"/>
    </row>
    <row r="939" ht="15" customHeight="1">
      <c r="A939" s="10" t="n"/>
      <c r="B939" s="2" t="n">
        <v>936</v>
      </c>
      <c r="C939" s="3" t="n"/>
      <c r="D939" s="3" t="n"/>
      <c r="E939" s="2" t="n"/>
      <c r="F939" s="5">
        <f>IF(E939="","",E939*1000)</f>
        <v/>
      </c>
      <c r="G939" s="23" t="n"/>
      <c r="H939" s="56">
        <f>IF(I939&lt;&gt;"",I939,IF(G939="","",IF(ROUND(MOD(G939,1),1)&lt;=0.4,INT(G939)-1,INT(G939))))</f>
        <v/>
      </c>
      <c r="I939" s="56" t="n"/>
      <c r="J939" s="57">
        <f>IF(H939="","",IF(LOWER(A939)="gl",H939-2,IF(H939&gt;=60,H939-5,IF(AND(H939&gt;=50,H939&lt;60),H939-4,IF(AND(H939&gt;=10,H939&lt;50),H939-3,H939)))))</f>
        <v/>
      </c>
      <c r="K939" s="57" t="n"/>
    </row>
    <row r="940" ht="15" customHeight="1">
      <c r="A940" s="10" t="n"/>
      <c r="B940" s="2" t="n">
        <v>937</v>
      </c>
      <c r="C940" s="3" t="n"/>
      <c r="D940" s="3" t="n"/>
      <c r="E940" s="2" t="n"/>
      <c r="F940" s="5">
        <f>IF(E940="","",E940*1000)</f>
        <v/>
      </c>
      <c r="G940" s="23" t="n"/>
      <c r="H940" s="56">
        <f>IF(I940&lt;&gt;"",I940,IF(G940="","",IF(ROUND(MOD(G940,1),1)&lt;=0.4,INT(G940)-1,INT(G940))))</f>
        <v/>
      </c>
      <c r="I940" s="56" t="n"/>
      <c r="J940" s="57">
        <f>IF(H940="","",IF(LOWER(A940)="gl",H940-2,IF(H940&gt;=60,H940-5,IF(AND(H940&gt;=50,H940&lt;60),H940-4,IF(AND(H940&gt;=10,H940&lt;50),H940-3,H940)))))</f>
        <v/>
      </c>
      <c r="K940" s="57" t="n"/>
    </row>
    <row r="941" ht="15" customHeight="1">
      <c r="A941" s="10" t="n"/>
      <c r="B941" s="2" t="n">
        <v>938</v>
      </c>
      <c r="C941" s="3" t="n"/>
      <c r="D941" s="3" t="n"/>
      <c r="E941" s="2" t="n"/>
      <c r="F941" s="5">
        <f>IF(E941="","",E941*1000)</f>
        <v/>
      </c>
      <c r="G941" s="23" t="n"/>
      <c r="H941" s="56">
        <f>IF(I941&lt;&gt;"",I941,IF(G941="","",IF(ROUND(MOD(G941,1),1)&lt;=0.4,INT(G941)-1,INT(G941))))</f>
        <v/>
      </c>
      <c r="I941" s="56" t="n"/>
      <c r="J941" s="57">
        <f>IF(H941="","",IF(LOWER(A941)="gl",H941-2,IF(H941&gt;=60,H941-5,IF(AND(H941&gt;=50,H941&lt;60),H941-4,IF(AND(H941&gt;=10,H941&lt;50),H941-3,H941)))))</f>
        <v/>
      </c>
      <c r="K941" s="57" t="n"/>
    </row>
    <row r="942" ht="15" customHeight="1">
      <c r="A942" s="10" t="n"/>
      <c r="B942" s="2" t="n">
        <v>939</v>
      </c>
      <c r="C942" s="3" t="n"/>
      <c r="D942" s="3" t="n"/>
      <c r="E942" s="2" t="n"/>
      <c r="F942" s="5">
        <f>IF(E942="","",E942*1000)</f>
        <v/>
      </c>
      <c r="G942" s="23" t="n"/>
      <c r="H942" s="56">
        <f>IF(I942&lt;&gt;"",I942,IF(G942="","",IF(ROUND(MOD(G942,1),1)&lt;=0.4,INT(G942)-1,INT(G942))))</f>
        <v/>
      </c>
      <c r="I942" s="56" t="n"/>
      <c r="J942" s="57">
        <f>IF(H942="","",IF(LOWER(A942)="gl",H942-2,IF(H942&gt;=60,H942-5,IF(AND(H942&gt;=50,H942&lt;60),H942-4,IF(AND(H942&gt;=10,H942&lt;50),H942-3,H942)))))</f>
        <v/>
      </c>
      <c r="K942" s="57" t="n"/>
    </row>
    <row r="943" ht="15" customHeight="1">
      <c r="A943" s="10" t="n"/>
      <c r="B943" s="2" t="n">
        <v>940</v>
      </c>
      <c r="C943" s="3" t="n"/>
      <c r="D943" s="3" t="n"/>
      <c r="E943" s="2" t="n"/>
      <c r="F943" s="5">
        <f>IF(E943="","",E943*1000)</f>
        <v/>
      </c>
      <c r="G943" s="23" t="n"/>
      <c r="H943" s="56">
        <f>IF(I943&lt;&gt;"",I943,IF(G943="","",IF(ROUND(MOD(G943,1),1)&lt;=0.4,INT(G943)-1,INT(G943))))</f>
        <v/>
      </c>
      <c r="I943" s="56" t="n"/>
      <c r="J943" s="57">
        <f>IF(H943="","",IF(LOWER(A943)="gl",H943-2,IF(H943&gt;=60,H943-5,IF(AND(H943&gt;=50,H943&lt;60),H943-4,IF(AND(H943&gt;=10,H943&lt;50),H943-3,H943)))))</f>
        <v/>
      </c>
      <c r="K943" s="57" t="n"/>
    </row>
    <row r="944" ht="15" customHeight="1">
      <c r="A944" s="10" t="n"/>
      <c r="B944" s="2" t="n">
        <v>941</v>
      </c>
      <c r="C944" s="3" t="n"/>
      <c r="D944" s="3" t="n"/>
      <c r="E944" s="2" t="n"/>
      <c r="F944" s="5">
        <f>IF(E944="","",E944*1000)</f>
        <v/>
      </c>
      <c r="G944" s="23" t="n"/>
      <c r="H944" s="56">
        <f>IF(I944&lt;&gt;"",I944,IF(G944="","",IF(ROUND(MOD(G944,1),1)&lt;=0.4,INT(G944)-1,INT(G944))))</f>
        <v/>
      </c>
      <c r="I944" s="56" t="n"/>
      <c r="J944" s="57">
        <f>IF(H944="","",IF(LOWER(A944)="gl",H944-2,IF(H944&gt;=60,H944-5,IF(AND(H944&gt;=50,H944&lt;60),H944-4,IF(AND(H944&gt;=10,H944&lt;50),H944-3,H944)))))</f>
        <v/>
      </c>
      <c r="K944" s="57" t="n"/>
    </row>
    <row r="945" ht="15" customHeight="1">
      <c r="A945" s="10" t="n"/>
      <c r="B945" s="2" t="n">
        <v>942</v>
      </c>
      <c r="C945" s="3" t="n"/>
      <c r="D945" s="3" t="n"/>
      <c r="E945" s="2" t="n"/>
      <c r="F945" s="5">
        <f>IF(E945="","",E945*1000)</f>
        <v/>
      </c>
      <c r="G945" s="23" t="n"/>
      <c r="H945" s="56">
        <f>IF(I945&lt;&gt;"",I945,IF(G945="","",IF(ROUND(MOD(G945,1),1)&lt;=0.4,INT(G945)-1,INT(G945))))</f>
        <v/>
      </c>
      <c r="I945" s="56" t="n"/>
      <c r="J945" s="57">
        <f>IF(H945="","",IF(LOWER(A945)="gl",H945-2,IF(H945&gt;=60,H945-5,IF(AND(H945&gt;=50,H945&lt;60),H945-4,IF(AND(H945&gt;=10,H945&lt;50),H945-3,H945)))))</f>
        <v/>
      </c>
      <c r="K945" s="57" t="n"/>
    </row>
    <row r="946" ht="15" customHeight="1">
      <c r="A946" s="10" t="n"/>
      <c r="B946" s="2" t="n">
        <v>943</v>
      </c>
      <c r="C946" s="3" t="n"/>
      <c r="D946" s="3" t="n"/>
      <c r="E946" s="2" t="n"/>
      <c r="F946" s="5">
        <f>IF(E946="","",E946*1000)</f>
        <v/>
      </c>
      <c r="G946" s="23" t="n"/>
      <c r="H946" s="56">
        <f>IF(I946&lt;&gt;"",I946,IF(G946="","",IF(ROUND(MOD(G946,1),1)&lt;=0.4,INT(G946)-1,INT(G946))))</f>
        <v/>
      </c>
      <c r="I946" s="56" t="n"/>
      <c r="J946" s="57">
        <f>IF(H946="","",IF(LOWER(A946)="gl",H946-2,IF(H946&gt;=60,H946-5,IF(AND(H946&gt;=50,H946&lt;60),H946-4,IF(AND(H946&gt;=10,H946&lt;50),H946-3,H946)))))</f>
        <v/>
      </c>
      <c r="K946" s="57" t="n"/>
    </row>
    <row r="947" ht="15" customHeight="1">
      <c r="A947" s="10" t="n"/>
      <c r="B947" s="2" t="n">
        <v>944</v>
      </c>
      <c r="C947" s="3" t="n"/>
      <c r="D947" s="3" t="n"/>
      <c r="E947" s="2" t="n"/>
      <c r="F947" s="5">
        <f>IF(E947="","",E947*1000)</f>
        <v/>
      </c>
      <c r="G947" s="23" t="n"/>
      <c r="H947" s="56">
        <f>IF(I947&lt;&gt;"",I947,IF(G947="","",IF(ROUND(MOD(G947,1),1)&lt;=0.4,INT(G947)-1,INT(G947))))</f>
        <v/>
      </c>
      <c r="I947" s="56" t="n"/>
      <c r="J947" s="57">
        <f>IF(H947="","",IF(LOWER(A947)="gl",H947-2,IF(H947&gt;=60,H947-5,IF(AND(H947&gt;=50,H947&lt;60),H947-4,IF(AND(H947&gt;=10,H947&lt;50),H947-3,H947)))))</f>
        <v/>
      </c>
      <c r="K947" s="57" t="n"/>
    </row>
    <row r="948" ht="15" customHeight="1">
      <c r="A948" s="10" t="n"/>
      <c r="B948" s="2" t="n">
        <v>945</v>
      </c>
      <c r="C948" s="3" t="n"/>
      <c r="D948" s="3" t="n"/>
      <c r="E948" s="2" t="n"/>
      <c r="F948" s="5">
        <f>IF(E948="","",E948*1000)</f>
        <v/>
      </c>
      <c r="G948" s="23" t="n"/>
      <c r="H948" s="56">
        <f>IF(I948&lt;&gt;"",I948,IF(G948="","",IF(ROUND(MOD(G948,1),1)&lt;=0.4,INT(G948)-1,INT(G948))))</f>
        <v/>
      </c>
      <c r="I948" s="56" t="n"/>
      <c r="J948" s="57">
        <f>IF(H948="","",IF(LOWER(A948)="gl",H948-2,IF(H948&gt;=60,H948-5,IF(AND(H948&gt;=50,H948&lt;60),H948-4,IF(AND(H948&gt;=10,H948&lt;50),H948-3,H948)))))</f>
        <v/>
      </c>
      <c r="K948" s="57" t="n"/>
    </row>
    <row r="949" ht="15" customHeight="1">
      <c r="A949" s="10" t="n"/>
      <c r="B949" s="2" t="n">
        <v>946</v>
      </c>
      <c r="C949" s="3" t="n"/>
      <c r="D949" s="3" t="n"/>
      <c r="E949" s="2" t="n"/>
      <c r="F949" s="5">
        <f>IF(E949="","",E949*1000)</f>
        <v/>
      </c>
      <c r="G949" s="23" t="n"/>
      <c r="H949" s="56">
        <f>IF(I949&lt;&gt;"",I949,IF(G949="","",IF(ROUND(MOD(G949,1),1)&lt;=0.4,INT(G949)-1,INT(G949))))</f>
        <v/>
      </c>
      <c r="I949" s="56" t="n"/>
      <c r="J949" s="57">
        <f>IF(H949="","",IF(LOWER(A949)="gl",H949-2,IF(H949&gt;=60,H949-5,IF(AND(H949&gt;=50,H949&lt;60),H949-4,IF(AND(H949&gt;=10,H949&lt;50),H949-3,H949)))))</f>
        <v/>
      </c>
      <c r="K949" s="57" t="n"/>
    </row>
    <row r="950" ht="15" customHeight="1">
      <c r="A950" s="10" t="n"/>
      <c r="B950" s="2" t="n">
        <v>947</v>
      </c>
      <c r="C950" s="3" t="n"/>
      <c r="D950" s="3" t="n"/>
      <c r="E950" s="2" t="n"/>
      <c r="F950" s="5">
        <f>IF(E950="","",E950*1000)</f>
        <v/>
      </c>
      <c r="G950" s="23" t="n"/>
      <c r="H950" s="56">
        <f>IF(I950&lt;&gt;"",I950,IF(G950="","",IF(ROUND(MOD(G950,1),1)&lt;=0.4,INT(G950)-1,INT(G950))))</f>
        <v/>
      </c>
      <c r="I950" s="56" t="n"/>
      <c r="J950" s="57">
        <f>IF(H950="","",IF(LOWER(A950)="gl",H950-2,IF(H950&gt;=60,H950-5,IF(AND(H950&gt;=50,H950&lt;60),H950-4,IF(AND(H950&gt;=10,H950&lt;50),H950-3,H950)))))</f>
        <v/>
      </c>
      <c r="K950" s="57" t="n"/>
    </row>
    <row r="951" ht="15" customHeight="1">
      <c r="A951" s="10" t="n"/>
      <c r="B951" s="2" t="n">
        <v>948</v>
      </c>
      <c r="C951" s="3" t="n"/>
      <c r="D951" s="3" t="n"/>
      <c r="E951" s="2" t="n"/>
      <c r="F951" s="5">
        <f>IF(E951="","",E951*1000)</f>
        <v/>
      </c>
      <c r="G951" s="23" t="n"/>
      <c r="H951" s="56">
        <f>IF(I951&lt;&gt;"",I951,IF(G951="","",IF(ROUND(MOD(G951,1),1)&lt;=0.4,INT(G951)-1,INT(G951))))</f>
        <v/>
      </c>
      <c r="I951" s="56" t="n"/>
      <c r="J951" s="57">
        <f>IF(H951="","",IF(LOWER(A951)="gl",H951-2,IF(H951&gt;=60,H951-5,IF(AND(H951&gt;=50,H951&lt;60),H951-4,IF(AND(H951&gt;=10,H951&lt;50),H951-3,H951)))))</f>
        <v/>
      </c>
      <c r="K951" s="57" t="n"/>
    </row>
    <row r="952" ht="15" customHeight="1">
      <c r="A952" s="10" t="n"/>
      <c r="B952" s="2" t="n">
        <v>949</v>
      </c>
      <c r="C952" s="3" t="n"/>
      <c r="D952" s="3" t="n"/>
      <c r="E952" s="2" t="n"/>
      <c r="F952" s="5">
        <f>IF(E952="","",E952*1000)</f>
        <v/>
      </c>
      <c r="G952" s="23" t="n"/>
      <c r="H952" s="56">
        <f>IF(I952&lt;&gt;"",I952,IF(G952="","",IF(ROUND(MOD(G952,1),1)&lt;=0.4,INT(G952)-1,INT(G952))))</f>
        <v/>
      </c>
      <c r="I952" s="56" t="n"/>
      <c r="J952" s="57">
        <f>IF(H952="","",IF(LOWER(A952)="gl",H952-2,IF(H952&gt;=60,H952-5,IF(AND(H952&gt;=50,H952&lt;60),H952-4,IF(AND(H952&gt;=10,H952&lt;50),H952-3,H952)))))</f>
        <v/>
      </c>
      <c r="K952" s="57" t="n"/>
    </row>
    <row r="953" ht="15" customHeight="1">
      <c r="A953" s="10" t="n"/>
      <c r="B953" s="2" t="n">
        <v>950</v>
      </c>
      <c r="C953" s="3" t="n"/>
      <c r="D953" s="3" t="n"/>
      <c r="E953" s="2" t="n"/>
      <c r="F953" s="5">
        <f>IF(E953="","",E953*1000)</f>
        <v/>
      </c>
      <c r="G953" s="23" t="n"/>
      <c r="H953" s="56">
        <f>IF(I953&lt;&gt;"",I953,IF(G953="","",IF(ROUND(MOD(G953,1),1)&lt;=0.4,INT(G953)-1,INT(G953))))</f>
        <v/>
      </c>
      <c r="I953" s="56" t="n"/>
      <c r="J953" s="57">
        <f>IF(H953="","",IF(LOWER(A953)="gl",H953-2,IF(H953&gt;=60,H953-5,IF(AND(H953&gt;=50,H953&lt;60),H953-4,IF(AND(H953&gt;=10,H953&lt;50),H953-3,H953)))))</f>
        <v/>
      </c>
      <c r="K953" s="57" t="n"/>
    </row>
    <row r="954" ht="15" customHeight="1">
      <c r="A954" s="10" t="n"/>
      <c r="B954" s="2" t="n">
        <v>951</v>
      </c>
      <c r="C954" s="3" t="n"/>
      <c r="D954" s="3" t="n"/>
      <c r="E954" s="2" t="n"/>
      <c r="F954" s="5">
        <f>IF(E954="","",E954*1000)</f>
        <v/>
      </c>
      <c r="G954" s="23" t="n"/>
      <c r="H954" s="56">
        <f>IF(I954&lt;&gt;"",I954,IF(G954="","",IF(ROUND(MOD(G954,1),1)&lt;=0.4,INT(G954)-1,INT(G954))))</f>
        <v/>
      </c>
      <c r="I954" s="56" t="n"/>
      <c r="J954" s="57">
        <f>IF(H954="","",IF(LOWER(A954)="gl",H954-2,IF(H954&gt;=60,H954-5,IF(AND(H954&gt;=50,H954&lt;60),H954-4,IF(AND(H954&gt;=10,H954&lt;50),H954-3,H954)))))</f>
        <v/>
      </c>
      <c r="K954" s="57" t="n"/>
    </row>
    <row r="955" ht="15" customHeight="1">
      <c r="A955" s="10" t="n"/>
      <c r="B955" s="2" t="n">
        <v>952</v>
      </c>
      <c r="C955" s="3" t="n"/>
      <c r="D955" s="3" t="n"/>
      <c r="E955" s="2" t="n"/>
      <c r="F955" s="5">
        <f>IF(E955="","",E955*1000)</f>
        <v/>
      </c>
      <c r="G955" s="23" t="n"/>
      <c r="H955" s="56">
        <f>IF(I955&lt;&gt;"",I955,IF(G955="","",IF(ROUND(MOD(G955,1),1)&lt;=0.4,INT(G955)-1,INT(G955))))</f>
        <v/>
      </c>
      <c r="I955" s="56" t="n"/>
      <c r="J955" s="57">
        <f>IF(H955="","",IF(LOWER(A955)="gl",H955-2,IF(H955&gt;=60,H955-5,IF(AND(H955&gt;=50,H955&lt;60),H955-4,IF(AND(H955&gt;=10,H955&lt;50),H955-3,H955)))))</f>
        <v/>
      </c>
      <c r="K955" s="57" t="n"/>
    </row>
    <row r="956" ht="15" customHeight="1">
      <c r="A956" s="10" t="n"/>
      <c r="B956" s="2" t="n">
        <v>953</v>
      </c>
      <c r="C956" s="3" t="n"/>
      <c r="D956" s="3" t="n"/>
      <c r="E956" s="2" t="n"/>
      <c r="F956" s="5">
        <f>IF(E956="","",E956*1000)</f>
        <v/>
      </c>
      <c r="G956" s="23" t="n"/>
      <c r="H956" s="56">
        <f>IF(I956&lt;&gt;"",I956,IF(G956="","",IF(ROUND(MOD(G956,1),1)&lt;=0.4,INT(G956)-1,INT(G956))))</f>
        <v/>
      </c>
      <c r="I956" s="56" t="n"/>
      <c r="J956" s="57">
        <f>IF(H956="","",IF(LOWER(A956)="gl",H956-2,IF(H956&gt;=60,H956-5,IF(AND(H956&gt;=50,H956&lt;60),H956-4,IF(AND(H956&gt;=10,H956&lt;50),H956-3,H956)))))</f>
        <v/>
      </c>
      <c r="K956" s="57" t="n"/>
    </row>
    <row r="957" ht="15" customHeight="1">
      <c r="A957" s="10" t="n"/>
      <c r="B957" s="2" t="n">
        <v>954</v>
      </c>
      <c r="C957" s="3" t="n"/>
      <c r="D957" s="3" t="n"/>
      <c r="E957" s="2" t="n"/>
      <c r="F957" s="5">
        <f>IF(E957="","",E957*1000)</f>
        <v/>
      </c>
      <c r="G957" s="23" t="n"/>
      <c r="H957" s="56">
        <f>IF(I957&lt;&gt;"",I957,IF(G957="","",IF(ROUND(MOD(G957,1),1)&lt;=0.4,INT(G957)-1,INT(G957))))</f>
        <v/>
      </c>
      <c r="I957" s="56" t="n"/>
      <c r="J957" s="57">
        <f>IF(H957="","",IF(LOWER(A957)="gl",H957-2,IF(H957&gt;=60,H957-5,IF(AND(H957&gt;=50,H957&lt;60),H957-4,IF(AND(H957&gt;=10,H957&lt;50),H957-3,H957)))))</f>
        <v/>
      </c>
      <c r="K957" s="57" t="n"/>
    </row>
    <row r="958" ht="15" customHeight="1">
      <c r="A958" s="10" t="n"/>
      <c r="B958" s="2" t="n">
        <v>955</v>
      </c>
      <c r="C958" s="3" t="n"/>
      <c r="D958" s="3" t="n"/>
      <c r="E958" s="2" t="n"/>
      <c r="F958" s="5">
        <f>IF(E958="","",E958*1000)</f>
        <v/>
      </c>
      <c r="G958" s="23" t="n"/>
      <c r="H958" s="56">
        <f>IF(I958&lt;&gt;"",I958,IF(G958="","",IF(ROUND(MOD(G958,1),1)&lt;=0.4,INT(G958)-1,INT(G958))))</f>
        <v/>
      </c>
      <c r="I958" s="56" t="n"/>
      <c r="J958" s="57">
        <f>IF(H958="","",IF(LOWER(A958)="gl",H958-2,IF(H958&gt;=60,H958-5,IF(AND(H958&gt;=50,H958&lt;60),H958-4,IF(AND(H958&gt;=10,H958&lt;50),H958-3,H958)))))</f>
        <v/>
      </c>
      <c r="K958" s="57" t="n"/>
    </row>
    <row r="959" ht="15" customHeight="1">
      <c r="A959" s="10" t="n"/>
      <c r="B959" s="2" t="n">
        <v>956</v>
      </c>
      <c r="C959" s="3" t="n"/>
      <c r="D959" s="3" t="n"/>
      <c r="E959" s="2" t="n"/>
      <c r="F959" s="5">
        <f>IF(E959="","",E959*1000)</f>
        <v/>
      </c>
      <c r="G959" s="23" t="n"/>
      <c r="H959" s="56">
        <f>IF(I959&lt;&gt;"",I959,IF(G959="","",IF(ROUND(MOD(G959,1),1)&lt;=0.4,INT(G959)-1,INT(G959))))</f>
        <v/>
      </c>
      <c r="I959" s="56" t="n"/>
      <c r="J959" s="57">
        <f>IF(H959="","",IF(LOWER(A959)="gl",H959-2,IF(H959&gt;=60,H959-5,IF(AND(H959&gt;=50,H959&lt;60),H959-4,IF(AND(H959&gt;=10,H959&lt;50),H959-3,H959)))))</f>
        <v/>
      </c>
      <c r="K959" s="57" t="n"/>
    </row>
    <row r="960" ht="15" customHeight="1">
      <c r="A960" s="10" t="n"/>
      <c r="B960" s="2" t="n">
        <v>957</v>
      </c>
      <c r="C960" s="3" t="n"/>
      <c r="D960" s="3" t="n"/>
      <c r="E960" s="2" t="n"/>
      <c r="F960" s="5">
        <f>IF(E960="","",E960*1000)</f>
        <v/>
      </c>
      <c r="G960" s="23" t="n"/>
      <c r="H960" s="56">
        <f>IF(I960&lt;&gt;"",I960,IF(G960="","",IF(ROUND(MOD(G960,1),1)&lt;=0.4,INT(G960)-1,INT(G960))))</f>
        <v/>
      </c>
      <c r="I960" s="56" t="n"/>
      <c r="J960" s="57">
        <f>IF(H960="","",IF(LOWER(A960)="gl",H960-2,IF(H960&gt;=60,H960-5,IF(AND(H960&gt;=50,H960&lt;60),H960-4,IF(AND(H960&gt;=10,H960&lt;50),H960-3,H960)))))</f>
        <v/>
      </c>
      <c r="K960" s="57" t="n"/>
    </row>
    <row r="961" ht="15" customHeight="1">
      <c r="A961" s="10" t="n"/>
      <c r="B961" s="2" t="n">
        <v>958</v>
      </c>
      <c r="C961" s="3" t="n"/>
      <c r="D961" s="3" t="n"/>
      <c r="E961" s="2" t="n"/>
      <c r="F961" s="5">
        <f>IF(E961="","",E961*1000)</f>
        <v/>
      </c>
      <c r="G961" s="23" t="n"/>
      <c r="H961" s="56">
        <f>IF(I961&lt;&gt;"",I961,IF(G961="","",IF(ROUND(MOD(G961,1),1)&lt;=0.4,INT(G961)-1,INT(G961))))</f>
        <v/>
      </c>
      <c r="I961" s="56" t="n"/>
      <c r="J961" s="57">
        <f>IF(H961="","",IF(LOWER(A961)="gl",H961-2,IF(H961&gt;=60,H961-5,IF(AND(H961&gt;=50,H961&lt;60),H961-4,IF(AND(H961&gt;=10,H961&lt;50),H961-3,H961)))))</f>
        <v/>
      </c>
      <c r="K961" s="57" t="n"/>
    </row>
    <row r="962" ht="15" customHeight="1">
      <c r="A962" s="10" t="n"/>
      <c r="B962" s="2" t="n">
        <v>959</v>
      </c>
      <c r="C962" s="3" t="n"/>
      <c r="D962" s="3" t="n"/>
      <c r="E962" s="2" t="n"/>
      <c r="F962" s="5">
        <f>IF(E962="","",E962*1000)</f>
        <v/>
      </c>
      <c r="G962" s="23" t="n"/>
      <c r="H962" s="56">
        <f>IF(I962&lt;&gt;"",I962,IF(G962="","",IF(ROUND(MOD(G962,1),1)&lt;=0.4,INT(G962)-1,INT(G962))))</f>
        <v/>
      </c>
      <c r="I962" s="56" t="n"/>
      <c r="J962" s="57">
        <f>IF(H962="","",IF(LOWER(A962)="gl",H962-2,IF(H962&gt;=60,H962-5,IF(AND(H962&gt;=50,H962&lt;60),H962-4,IF(AND(H962&gt;=10,H962&lt;50),H962-3,H962)))))</f>
        <v/>
      </c>
      <c r="K962" s="57" t="n"/>
    </row>
    <row r="963" ht="15" customHeight="1">
      <c r="A963" s="10" t="n"/>
      <c r="B963" s="2" t="n">
        <v>960</v>
      </c>
      <c r="C963" s="3" t="n"/>
      <c r="D963" s="3" t="n"/>
      <c r="E963" s="2" t="n"/>
      <c r="F963" s="5">
        <f>IF(E963="","",E963*1000)</f>
        <v/>
      </c>
      <c r="G963" s="23" t="n"/>
      <c r="H963" s="56">
        <f>IF(I963&lt;&gt;"",I963,IF(G963="","",IF(ROUND(MOD(G963,1),1)&lt;=0.4,INT(G963)-1,INT(G963))))</f>
        <v/>
      </c>
      <c r="I963" s="56" t="n"/>
      <c r="J963" s="57">
        <f>IF(H963="","",IF(LOWER(A963)="gl",H963-2,IF(H963&gt;=60,H963-5,IF(AND(H963&gt;=50,H963&lt;60),H963-4,IF(AND(H963&gt;=10,H963&lt;50),H963-3,H963)))))</f>
        <v/>
      </c>
      <c r="K963" s="57" t="n"/>
    </row>
    <row r="964" ht="15" customHeight="1">
      <c r="A964" s="10" t="n"/>
      <c r="B964" s="2" t="n">
        <v>961</v>
      </c>
      <c r="C964" s="3" t="n"/>
      <c r="D964" s="3" t="n"/>
      <c r="E964" s="2" t="n"/>
      <c r="F964" s="5">
        <f>IF(E964="","",E964*1000)</f>
        <v/>
      </c>
      <c r="G964" s="23" t="n"/>
      <c r="H964" s="56">
        <f>IF(I964&lt;&gt;"",I964,IF(G964="","",IF(ROUND(MOD(G964,1),1)&lt;=0.4,INT(G964)-1,INT(G964))))</f>
        <v/>
      </c>
      <c r="I964" s="56" t="n"/>
      <c r="J964" s="57">
        <f>IF(H964="","",IF(LOWER(A964)="gl",H964-2,IF(H964&gt;=60,H964-5,IF(AND(H964&gt;=50,H964&lt;60),H964-4,IF(AND(H964&gt;=10,H964&lt;50),H964-3,H964)))))</f>
        <v/>
      </c>
      <c r="K964" s="57" t="n"/>
    </row>
    <row r="965" ht="15" customHeight="1">
      <c r="A965" s="10" t="n"/>
      <c r="B965" s="2" t="n">
        <v>962</v>
      </c>
      <c r="C965" s="3" t="n"/>
      <c r="D965" s="3" t="n"/>
      <c r="E965" s="2" t="n"/>
      <c r="F965" s="5">
        <f>IF(E965="","",E965*1000)</f>
        <v/>
      </c>
      <c r="G965" s="23" t="n"/>
      <c r="H965" s="56">
        <f>IF(I965&lt;&gt;"",I965,IF(G965="","",IF(ROUND(MOD(G965,1),1)&lt;=0.4,INT(G965)-1,INT(G965))))</f>
        <v/>
      </c>
      <c r="I965" s="56" t="n"/>
      <c r="J965" s="57">
        <f>IF(H965="","",IF(LOWER(A965)="gl",H965-2,IF(H965&gt;=60,H965-5,IF(AND(H965&gt;=50,H965&lt;60),H965-4,IF(AND(H965&gt;=10,H965&lt;50),H965-3,H965)))))</f>
        <v/>
      </c>
      <c r="K965" s="57" t="n"/>
    </row>
    <row r="966" ht="15" customHeight="1">
      <c r="A966" s="10" t="n"/>
      <c r="B966" s="2" t="n">
        <v>963</v>
      </c>
      <c r="C966" s="3" t="n"/>
      <c r="D966" s="3" t="n"/>
      <c r="E966" s="2" t="n"/>
      <c r="F966" s="5">
        <f>IF(E966="","",E966*1000)</f>
        <v/>
      </c>
      <c r="G966" s="23" t="n"/>
      <c r="H966" s="56">
        <f>IF(I966&lt;&gt;"",I966,IF(G966="","",IF(ROUND(MOD(G966,1),1)&lt;=0.4,INT(G966)-1,INT(G966))))</f>
        <v/>
      </c>
      <c r="I966" s="56" t="n"/>
      <c r="J966" s="57">
        <f>IF(H966="","",IF(LOWER(A966)="gl",H966-2,IF(H966&gt;=60,H966-5,IF(AND(H966&gt;=50,H966&lt;60),H966-4,IF(AND(H966&gt;=10,H966&lt;50),H966-3,H966)))))</f>
        <v/>
      </c>
      <c r="K966" s="57" t="n"/>
    </row>
    <row r="967" ht="15" customHeight="1">
      <c r="A967" s="10" t="n"/>
      <c r="B967" s="2" t="n">
        <v>964</v>
      </c>
      <c r="C967" s="3" t="n"/>
      <c r="D967" s="3" t="n"/>
      <c r="E967" s="2" t="n"/>
      <c r="F967" s="5">
        <f>IF(E967="","",E967*1000)</f>
        <v/>
      </c>
      <c r="G967" s="23" t="n"/>
      <c r="H967" s="56">
        <f>IF(I967&lt;&gt;"",I967,IF(G967="","",IF(ROUND(MOD(G967,1),1)&lt;=0.4,INT(G967)-1,INT(G967))))</f>
        <v/>
      </c>
      <c r="I967" s="56" t="n"/>
      <c r="J967" s="57">
        <f>IF(H967="","",IF(LOWER(A967)="gl",H967-2,IF(H967&gt;=60,H967-5,IF(AND(H967&gt;=50,H967&lt;60),H967-4,IF(AND(H967&gt;=10,H967&lt;50),H967-3,H967)))))</f>
        <v/>
      </c>
      <c r="K967" s="57" t="n"/>
    </row>
    <row r="968" ht="15" customHeight="1">
      <c r="A968" s="10" t="n"/>
      <c r="B968" s="2" t="n">
        <v>965</v>
      </c>
      <c r="C968" s="3" t="n"/>
      <c r="D968" s="3" t="n"/>
      <c r="E968" s="2" t="n"/>
      <c r="F968" s="5">
        <f>IF(E968="","",E968*1000)</f>
        <v/>
      </c>
      <c r="G968" s="23" t="n"/>
      <c r="H968" s="56">
        <f>IF(I968&lt;&gt;"",I968,IF(G968="","",IF(ROUND(MOD(G968,1),1)&lt;=0.4,INT(G968)-1,INT(G968))))</f>
        <v/>
      </c>
      <c r="I968" s="56" t="n"/>
      <c r="J968" s="57">
        <f>IF(H968="","",IF(LOWER(A968)="gl",H968-2,IF(H968&gt;=60,H968-5,IF(AND(H968&gt;=50,H968&lt;60),H968-4,IF(AND(H968&gt;=10,H968&lt;50),H968-3,H968)))))</f>
        <v/>
      </c>
      <c r="K968" s="57" t="n"/>
    </row>
    <row r="969" ht="15" customHeight="1">
      <c r="A969" s="10" t="n"/>
      <c r="B969" s="2" t="n">
        <v>966</v>
      </c>
      <c r="C969" s="3" t="n"/>
      <c r="D969" s="3" t="n"/>
      <c r="E969" s="2" t="n"/>
      <c r="F969" s="5">
        <f>IF(E969="","",E969*1000)</f>
        <v/>
      </c>
      <c r="G969" s="23" t="n"/>
      <c r="H969" s="56">
        <f>IF(I969&lt;&gt;"",I969,IF(G969="","",IF(ROUND(MOD(G969,1),1)&lt;=0.4,INT(G969)-1,INT(G969))))</f>
        <v/>
      </c>
      <c r="I969" s="56" t="n"/>
      <c r="J969" s="57">
        <f>IF(H969="","",IF(LOWER(A969)="gl",H969-2,IF(H969&gt;=60,H969-5,IF(AND(H969&gt;=50,H969&lt;60),H969-4,IF(AND(H969&gt;=10,H969&lt;50),H969-3,H969)))))</f>
        <v/>
      </c>
      <c r="K969" s="57" t="n"/>
    </row>
    <row r="970" ht="15" customHeight="1">
      <c r="A970" s="10" t="n"/>
      <c r="B970" s="2" t="n">
        <v>967</v>
      </c>
      <c r="C970" s="3" t="n"/>
      <c r="D970" s="3" t="n"/>
      <c r="E970" s="2" t="n"/>
      <c r="F970" s="5">
        <f>IF(E970="","",E970*1000)</f>
        <v/>
      </c>
      <c r="G970" s="23" t="n"/>
      <c r="H970" s="56">
        <f>IF(I970&lt;&gt;"",I970,IF(G970="","",IF(ROUND(MOD(G970,1),1)&lt;=0.4,INT(G970)-1,INT(G970))))</f>
        <v/>
      </c>
      <c r="I970" s="56" t="n"/>
      <c r="J970" s="57">
        <f>IF(H970="","",IF(LOWER(A970)="gl",H970-2,IF(H970&gt;=60,H970-5,IF(AND(H970&gt;=50,H970&lt;60),H970-4,IF(AND(H970&gt;=10,H970&lt;50),H970-3,H970)))))</f>
        <v/>
      </c>
      <c r="K970" s="57" t="n"/>
    </row>
    <row r="971" ht="15" customHeight="1">
      <c r="A971" s="10" t="n"/>
      <c r="B971" s="2" t="n">
        <v>968</v>
      </c>
      <c r="C971" s="3" t="n"/>
      <c r="D971" s="3" t="n"/>
      <c r="E971" s="2" t="n"/>
      <c r="F971" s="5">
        <f>IF(E971="","",E971*1000)</f>
        <v/>
      </c>
      <c r="G971" s="23" t="n"/>
      <c r="H971" s="56">
        <f>IF(I971&lt;&gt;"",I971,IF(G971="","",IF(ROUND(MOD(G971,1),1)&lt;=0.4,INT(G971)-1,INT(G971))))</f>
        <v/>
      </c>
      <c r="I971" s="56" t="n"/>
      <c r="J971" s="57">
        <f>IF(H971="","",IF(LOWER(A971)="gl",H971-2,IF(H971&gt;=60,H971-5,IF(AND(H971&gt;=50,H971&lt;60),H971-4,IF(AND(H971&gt;=10,H971&lt;50),H971-3,H971)))))</f>
        <v/>
      </c>
      <c r="K971" s="57" t="n"/>
    </row>
    <row r="972" ht="15" customHeight="1">
      <c r="A972" s="10" t="n"/>
      <c r="B972" s="2" t="n">
        <v>969</v>
      </c>
      <c r="C972" s="3" t="n"/>
      <c r="D972" s="3" t="n"/>
      <c r="E972" s="2" t="n"/>
      <c r="F972" s="5">
        <f>IF(E972="","",E972*1000)</f>
        <v/>
      </c>
      <c r="G972" s="23" t="n"/>
      <c r="H972" s="56">
        <f>IF(I972&lt;&gt;"",I972,IF(G972="","",IF(ROUND(MOD(G972,1),1)&lt;=0.4,INT(G972)-1,INT(G972))))</f>
        <v/>
      </c>
      <c r="I972" s="56" t="n"/>
      <c r="J972" s="57">
        <f>IF(H972="","",IF(LOWER(A972)="gl",H972-2,IF(H972&gt;=60,H972-5,IF(AND(H972&gt;=50,H972&lt;60),H972-4,IF(AND(H972&gt;=10,H972&lt;50),H972-3,H972)))))</f>
        <v/>
      </c>
      <c r="K972" s="57" t="n"/>
    </row>
    <row r="973" ht="15" customHeight="1">
      <c r="A973" s="10" t="n"/>
      <c r="B973" s="2" t="n">
        <v>970</v>
      </c>
      <c r="C973" s="3" t="n"/>
      <c r="D973" s="3" t="n"/>
      <c r="E973" s="2" t="n"/>
      <c r="F973" s="5">
        <f>IF(E973="","",E973*1000)</f>
        <v/>
      </c>
      <c r="G973" s="23" t="n"/>
      <c r="H973" s="56">
        <f>IF(I973&lt;&gt;"",I973,IF(G973="","",IF(ROUND(MOD(G973,1),1)&lt;=0.4,INT(G973)-1,INT(G973))))</f>
        <v/>
      </c>
      <c r="I973" s="56" t="n"/>
      <c r="J973" s="57">
        <f>IF(H973="","",IF(LOWER(A973)="gl",H973-2,IF(H973&gt;=60,H973-5,IF(AND(H973&gt;=50,H973&lt;60),H973-4,IF(AND(H973&gt;=10,H973&lt;50),H973-3,H973)))))</f>
        <v/>
      </c>
      <c r="K973" s="57" t="n"/>
    </row>
    <row r="974" ht="15" customHeight="1">
      <c r="A974" s="10" t="n"/>
      <c r="B974" s="2" t="n">
        <v>971</v>
      </c>
      <c r="C974" s="3" t="n"/>
      <c r="D974" s="3" t="n"/>
      <c r="E974" s="2" t="n"/>
      <c r="F974" s="5">
        <f>IF(E974="","",E974*1000)</f>
        <v/>
      </c>
      <c r="G974" s="23" t="n"/>
      <c r="H974" s="56">
        <f>IF(I974&lt;&gt;"",I974,IF(G974="","",IF(ROUND(MOD(G974,1),1)&lt;=0.4,INT(G974)-1,INT(G974))))</f>
        <v/>
      </c>
      <c r="I974" s="56" t="n"/>
      <c r="J974" s="57">
        <f>IF(H974="","",IF(LOWER(A974)="gl",H974-2,IF(H974&gt;=60,H974-5,IF(AND(H974&gt;=50,H974&lt;60),H974-4,IF(AND(H974&gt;=10,H974&lt;50),H974-3,H974)))))</f>
        <v/>
      </c>
      <c r="K974" s="57" t="n"/>
    </row>
    <row r="975" ht="15" customHeight="1">
      <c r="A975" s="10" t="n"/>
      <c r="B975" s="2" t="n">
        <v>972</v>
      </c>
      <c r="C975" s="3" t="n"/>
      <c r="D975" s="3" t="n"/>
      <c r="E975" s="2" t="n"/>
      <c r="F975" s="5">
        <f>IF(E975="","",E975*1000)</f>
        <v/>
      </c>
      <c r="G975" s="23" t="n"/>
      <c r="H975" s="56">
        <f>IF(I975&lt;&gt;"",I975,IF(G975="","",IF(ROUND(MOD(G975,1),1)&lt;=0.4,INT(G975)-1,INT(G975))))</f>
        <v/>
      </c>
      <c r="I975" s="56" t="n"/>
      <c r="J975" s="57">
        <f>IF(H975="","",IF(LOWER(A975)="gl",H975-2,IF(H975&gt;=60,H975-5,IF(AND(H975&gt;=50,H975&lt;60),H975-4,IF(AND(H975&gt;=10,H975&lt;50),H975-3,H975)))))</f>
        <v/>
      </c>
      <c r="K975" s="57" t="n"/>
    </row>
    <row r="976" ht="15" customHeight="1">
      <c r="A976" s="10" t="n"/>
      <c r="B976" s="2" t="n">
        <v>973</v>
      </c>
      <c r="C976" s="3" t="n"/>
      <c r="D976" s="3" t="n"/>
      <c r="E976" s="2" t="n"/>
      <c r="F976" s="5">
        <f>IF(E976="","",E976*1000)</f>
        <v/>
      </c>
      <c r="G976" s="23" t="n"/>
      <c r="H976" s="56">
        <f>IF(I976&lt;&gt;"",I976,IF(G976="","",IF(ROUND(MOD(G976,1),1)&lt;=0.4,INT(G976)-1,INT(G976))))</f>
        <v/>
      </c>
      <c r="I976" s="56" t="n"/>
      <c r="J976" s="57">
        <f>IF(H976="","",IF(LOWER(A976)="gl",H976-2,IF(H976&gt;=60,H976-5,IF(AND(H976&gt;=50,H976&lt;60),H976-4,IF(AND(H976&gt;=10,H976&lt;50),H976-3,H976)))))</f>
        <v/>
      </c>
      <c r="K976" s="57" t="n"/>
    </row>
    <row r="977" ht="15" customHeight="1">
      <c r="A977" s="10" t="n"/>
      <c r="B977" s="2" t="n">
        <v>974</v>
      </c>
      <c r="C977" s="3" t="n"/>
      <c r="D977" s="3" t="n"/>
      <c r="E977" s="2" t="n"/>
      <c r="F977" s="5">
        <f>IF(E977="","",E977*1000)</f>
        <v/>
      </c>
      <c r="G977" s="23" t="n"/>
      <c r="H977" s="56">
        <f>IF(I977&lt;&gt;"",I977,IF(G977="","",IF(ROUND(MOD(G977,1),1)&lt;=0.4,INT(G977)-1,INT(G977))))</f>
        <v/>
      </c>
      <c r="I977" s="56" t="n"/>
      <c r="J977" s="57">
        <f>IF(H977="","",IF(LOWER(A977)="gl",H977-2,IF(H977&gt;=60,H977-5,IF(AND(H977&gt;=50,H977&lt;60),H977-4,IF(AND(H977&gt;=10,H977&lt;50),H977-3,H977)))))</f>
        <v/>
      </c>
      <c r="K977" s="57" t="n"/>
    </row>
    <row r="978" ht="15" customHeight="1">
      <c r="A978" s="10" t="n"/>
      <c r="B978" s="2" t="n">
        <v>975</v>
      </c>
      <c r="C978" s="3" t="n"/>
      <c r="D978" s="3" t="n"/>
      <c r="E978" s="2" t="n"/>
      <c r="F978" s="5">
        <f>IF(E978="","",E978*1000)</f>
        <v/>
      </c>
      <c r="G978" s="23" t="n"/>
      <c r="H978" s="56">
        <f>IF(I978&lt;&gt;"",I978,IF(G978="","",IF(ROUND(MOD(G978,1),1)&lt;=0.4,INT(G978)-1,INT(G978))))</f>
        <v/>
      </c>
      <c r="I978" s="56" t="n"/>
      <c r="J978" s="57">
        <f>IF(H978="","",IF(LOWER(A978)="gl",H978-2,IF(H978&gt;=60,H978-5,IF(AND(H978&gt;=50,H978&lt;60),H978-4,IF(AND(H978&gt;=10,H978&lt;50),H978-3,H978)))))</f>
        <v/>
      </c>
      <c r="K978" s="57" t="n"/>
    </row>
    <row r="979" ht="15" customHeight="1">
      <c r="A979" s="10" t="n"/>
      <c r="B979" s="2" t="n">
        <v>976</v>
      </c>
      <c r="C979" s="3" t="n"/>
      <c r="D979" s="3" t="n"/>
      <c r="E979" s="2" t="n"/>
      <c r="F979" s="5">
        <f>IF(E979="","",E979*1000)</f>
        <v/>
      </c>
      <c r="G979" s="23" t="n"/>
      <c r="H979" s="56">
        <f>IF(I979&lt;&gt;"",I979,IF(G979="","",IF(ROUND(MOD(G979,1),1)&lt;=0.4,INT(G979)-1,INT(G979))))</f>
        <v/>
      </c>
      <c r="I979" s="56" t="n"/>
      <c r="J979" s="57">
        <f>IF(H979="","",IF(LOWER(A979)="gl",H979-2,IF(H979&gt;=60,H979-5,IF(AND(H979&gt;=50,H979&lt;60),H979-4,IF(AND(H979&gt;=10,H979&lt;50),H979-3,H979)))))</f>
        <v/>
      </c>
      <c r="K979" s="57" t="n"/>
    </row>
    <row r="980" ht="15" customHeight="1">
      <c r="A980" s="10" t="n"/>
      <c r="B980" s="2" t="n">
        <v>977</v>
      </c>
      <c r="C980" s="3" t="n"/>
      <c r="D980" s="3" t="n"/>
      <c r="E980" s="2" t="n"/>
      <c r="F980" s="5">
        <f>IF(E980="","",E980*1000)</f>
        <v/>
      </c>
      <c r="G980" s="23" t="n"/>
      <c r="H980" s="56">
        <f>IF(I980&lt;&gt;"",I980,IF(G980="","",IF(ROUND(MOD(G980,1),1)&lt;=0.4,INT(G980)-1,INT(G980))))</f>
        <v/>
      </c>
      <c r="I980" s="56" t="n"/>
      <c r="J980" s="57">
        <f>IF(H980="","",IF(LOWER(A980)="gl",H980-2,IF(H980&gt;=60,H980-5,IF(AND(H980&gt;=50,H980&lt;60),H980-4,IF(AND(H980&gt;=10,H980&lt;50),H980-3,H980)))))</f>
        <v/>
      </c>
      <c r="K980" s="57" t="n"/>
    </row>
    <row r="981" ht="15" customHeight="1">
      <c r="A981" s="10" t="n"/>
      <c r="B981" s="2" t="n">
        <v>978</v>
      </c>
      <c r="C981" s="3" t="n"/>
      <c r="D981" s="3" t="n"/>
      <c r="E981" s="2" t="n"/>
      <c r="F981" s="5">
        <f>IF(E981="","",E981*1000)</f>
        <v/>
      </c>
      <c r="G981" s="23" t="n"/>
      <c r="H981" s="56">
        <f>IF(I981&lt;&gt;"",I981,IF(G981="","",IF(ROUND(MOD(G981,1),1)&lt;=0.4,INT(G981)-1,INT(G981))))</f>
        <v/>
      </c>
      <c r="I981" s="56" t="n"/>
      <c r="J981" s="57">
        <f>IF(H981="","",IF(LOWER(A981)="gl",H981-2,IF(H981&gt;=60,H981-5,IF(AND(H981&gt;=50,H981&lt;60),H981-4,IF(AND(H981&gt;=10,H981&lt;50),H981-3,H981)))))</f>
        <v/>
      </c>
      <c r="K981" s="57" t="n"/>
    </row>
    <row r="982" ht="15" customHeight="1">
      <c r="A982" s="10" t="n"/>
      <c r="B982" s="2" t="n">
        <v>979</v>
      </c>
      <c r="C982" s="3" t="n"/>
      <c r="D982" s="3" t="n"/>
      <c r="E982" s="2" t="n"/>
      <c r="F982" s="5">
        <f>IF(E982="","",E982*1000)</f>
        <v/>
      </c>
      <c r="G982" s="23" t="n"/>
      <c r="H982" s="56">
        <f>IF(I982&lt;&gt;"",I982,IF(G982="","",IF(ROUND(MOD(G982,1),1)&lt;=0.4,INT(G982)-1,INT(G982))))</f>
        <v/>
      </c>
      <c r="I982" s="56" t="n"/>
      <c r="J982" s="57">
        <f>IF(H982="","",IF(LOWER(A982)="gl",H982-2,IF(H982&gt;=60,H982-5,IF(AND(H982&gt;=50,H982&lt;60),H982-4,IF(AND(H982&gt;=10,H982&lt;50),H982-3,H982)))))</f>
        <v/>
      </c>
      <c r="K982" s="57" t="n"/>
    </row>
    <row r="983" ht="15" customHeight="1">
      <c r="A983" s="10" t="n"/>
      <c r="B983" s="2" t="n">
        <v>980</v>
      </c>
      <c r="C983" s="3" t="n"/>
      <c r="D983" s="3" t="n"/>
      <c r="E983" s="2" t="n"/>
      <c r="F983" s="5">
        <f>IF(E983="","",E983*1000)</f>
        <v/>
      </c>
      <c r="G983" s="23" t="n"/>
      <c r="H983" s="56">
        <f>IF(I983&lt;&gt;"",I983,IF(G983="","",IF(ROUND(MOD(G983,1),1)&lt;=0.4,INT(G983)-1,INT(G983))))</f>
        <v/>
      </c>
      <c r="I983" s="56" t="n"/>
      <c r="J983" s="57">
        <f>IF(H983="","",IF(LOWER(A983)="gl",H983-2,IF(H983&gt;=60,H983-5,IF(AND(H983&gt;=50,H983&lt;60),H983-4,IF(AND(H983&gt;=10,H983&lt;50),H983-3,H983)))))</f>
        <v/>
      </c>
      <c r="K983" s="57" t="n"/>
    </row>
    <row r="984" ht="15" customHeight="1">
      <c r="A984" s="10" t="n"/>
      <c r="B984" s="2" t="n">
        <v>981</v>
      </c>
      <c r="C984" s="3" t="n"/>
      <c r="D984" s="3" t="n"/>
      <c r="E984" s="2" t="n"/>
      <c r="F984" s="5">
        <f>IF(E984="","",E984*1000)</f>
        <v/>
      </c>
      <c r="G984" s="23" t="n"/>
      <c r="H984" s="56">
        <f>IF(I984&lt;&gt;"",I984,IF(G984="","",IF(ROUND(MOD(G984,1),1)&lt;=0.4,INT(G984)-1,INT(G984))))</f>
        <v/>
      </c>
      <c r="I984" s="56" t="n"/>
      <c r="J984" s="57">
        <f>IF(H984="","",IF(LOWER(A984)="gl",H984-2,IF(H984&gt;=60,H984-5,IF(AND(H984&gt;=50,H984&lt;60),H984-4,IF(AND(H984&gt;=10,H984&lt;50),H984-3,H984)))))</f>
        <v/>
      </c>
      <c r="K984" s="57" t="n"/>
    </row>
    <row r="985" ht="15" customHeight="1">
      <c r="A985" s="10" t="n"/>
      <c r="B985" s="2" t="n">
        <v>982</v>
      </c>
      <c r="C985" s="3" t="n"/>
      <c r="D985" s="3" t="n"/>
      <c r="E985" s="2" t="n"/>
      <c r="F985" s="5">
        <f>IF(E985="","",E985*1000)</f>
        <v/>
      </c>
      <c r="G985" s="23" t="n"/>
      <c r="H985" s="56">
        <f>IF(I985&lt;&gt;"",I985,IF(G985="","",IF(ROUND(MOD(G985,1),1)&lt;=0.4,INT(G985)-1,INT(G985))))</f>
        <v/>
      </c>
      <c r="I985" s="56" t="n"/>
      <c r="J985" s="57">
        <f>IF(H985="","",IF(LOWER(A985)="gl",H985-2,IF(H985&gt;=60,H985-5,IF(AND(H985&gt;=50,H985&lt;60),H985-4,IF(AND(H985&gt;=10,H985&lt;50),H985-3,H985)))))</f>
        <v/>
      </c>
      <c r="K985" s="57" t="n"/>
    </row>
    <row r="986" ht="15" customHeight="1">
      <c r="A986" s="10" t="n"/>
      <c r="B986" s="2" t="n">
        <v>983</v>
      </c>
      <c r="C986" s="3" t="n"/>
      <c r="D986" s="3" t="n"/>
      <c r="E986" s="2" t="n"/>
      <c r="F986" s="5">
        <f>IF(E986="","",E986*1000)</f>
        <v/>
      </c>
      <c r="G986" s="23" t="n"/>
      <c r="H986" s="56">
        <f>IF(I986&lt;&gt;"",I986,IF(G986="","",IF(ROUND(MOD(G986,1),1)&lt;=0.4,INT(G986)-1,INT(G986))))</f>
        <v/>
      </c>
      <c r="I986" s="56" t="n"/>
      <c r="J986" s="57">
        <f>IF(H986="","",IF(LOWER(A986)="gl",H986-2,IF(H986&gt;=60,H986-5,IF(AND(H986&gt;=50,H986&lt;60),H986-4,IF(AND(H986&gt;=10,H986&lt;50),H986-3,H986)))))</f>
        <v/>
      </c>
      <c r="K986" s="57" t="n"/>
    </row>
    <row r="987" ht="15" customHeight="1">
      <c r="A987" s="10" t="n"/>
      <c r="B987" s="2" t="n">
        <v>984</v>
      </c>
      <c r="C987" s="3" t="n"/>
      <c r="D987" s="3" t="n"/>
      <c r="E987" s="2" t="n"/>
      <c r="F987" s="5">
        <f>IF(E987="","",E987*1000)</f>
        <v/>
      </c>
      <c r="G987" s="23" t="n"/>
      <c r="H987" s="56">
        <f>IF(I987&lt;&gt;"",I987,IF(G987="","",IF(ROUND(MOD(G987,1),1)&lt;=0.4,INT(G987)-1,INT(G987))))</f>
        <v/>
      </c>
      <c r="I987" s="56" t="n"/>
      <c r="J987" s="57">
        <f>IF(H987="","",IF(LOWER(A987)="gl",H987-2,IF(H987&gt;=60,H987-5,IF(AND(H987&gt;=50,H987&lt;60),H987-4,IF(AND(H987&gt;=10,H987&lt;50),H987-3,H987)))))</f>
        <v/>
      </c>
      <c r="K987" s="57" t="n"/>
    </row>
    <row r="988" ht="15" customHeight="1">
      <c r="A988" s="10" t="n"/>
      <c r="B988" s="2" t="n">
        <v>985</v>
      </c>
      <c r="C988" s="3" t="n"/>
      <c r="D988" s="3" t="n"/>
      <c r="E988" s="2" t="n"/>
      <c r="F988" s="5">
        <f>IF(E988="","",E988*1000)</f>
        <v/>
      </c>
      <c r="G988" s="23" t="n"/>
      <c r="H988" s="56">
        <f>IF(I988&lt;&gt;"",I988,IF(G988="","",IF(ROUND(MOD(G988,1),1)&lt;=0.4,INT(G988)-1,INT(G988))))</f>
        <v/>
      </c>
      <c r="I988" s="56" t="n"/>
      <c r="J988" s="57">
        <f>IF(H988="","",IF(LOWER(A988)="gl",H988-2,IF(H988&gt;=60,H988-5,IF(AND(H988&gt;=50,H988&lt;60),H988-4,IF(AND(H988&gt;=10,H988&lt;50),H988-3,H988)))))</f>
        <v/>
      </c>
      <c r="K988" s="57" t="n"/>
    </row>
    <row r="989" ht="15" customHeight="1">
      <c r="A989" s="10" t="n"/>
      <c r="B989" s="2" t="n">
        <v>986</v>
      </c>
      <c r="C989" s="3" t="n"/>
      <c r="D989" s="3" t="n"/>
      <c r="E989" s="2" t="n"/>
      <c r="F989" s="5">
        <f>IF(E989="","",E989*1000)</f>
        <v/>
      </c>
      <c r="G989" s="23" t="n"/>
      <c r="H989" s="56">
        <f>IF(I989&lt;&gt;"",I989,IF(G989="","",IF(ROUND(MOD(G989,1),1)&lt;=0.4,INT(G989)-1,INT(G989))))</f>
        <v/>
      </c>
      <c r="I989" s="56" t="n"/>
      <c r="J989" s="57">
        <f>IF(H989="","",IF(LOWER(A989)="gl",H989-2,IF(H989&gt;=60,H989-5,IF(AND(H989&gt;=50,H989&lt;60),H989-4,IF(AND(H989&gt;=10,H989&lt;50),H989-3,H989)))))</f>
        <v/>
      </c>
      <c r="K989" s="57" t="n"/>
    </row>
    <row r="990" ht="15" customHeight="1">
      <c r="A990" s="10" t="n"/>
      <c r="B990" s="2" t="n">
        <v>987</v>
      </c>
      <c r="C990" s="3" t="n"/>
      <c r="D990" s="3" t="n"/>
      <c r="E990" s="2" t="n"/>
      <c r="F990" s="5">
        <f>IF(E990="","",E990*1000)</f>
        <v/>
      </c>
      <c r="G990" s="23" t="n"/>
      <c r="H990" s="56">
        <f>IF(I990&lt;&gt;"",I990,IF(G990="","",IF(ROUND(MOD(G990,1),1)&lt;=0.4,INT(G990)-1,INT(G990))))</f>
        <v/>
      </c>
      <c r="I990" s="56" t="n"/>
      <c r="J990" s="57">
        <f>IF(H990="","",IF(LOWER(A990)="gl",H990-2,IF(H990&gt;=60,H990-5,IF(AND(H990&gt;=50,H990&lt;60),H990-4,IF(AND(H990&gt;=10,H990&lt;50),H990-3,H990)))))</f>
        <v/>
      </c>
      <c r="K990" s="57" t="n"/>
    </row>
    <row r="991" ht="15" customHeight="1">
      <c r="A991" s="10" t="n"/>
      <c r="B991" s="2" t="n">
        <v>988</v>
      </c>
      <c r="C991" s="3" t="n"/>
      <c r="D991" s="3" t="n"/>
      <c r="E991" s="2" t="n"/>
      <c r="F991" s="5">
        <f>IF(E991="","",E991*1000)</f>
        <v/>
      </c>
      <c r="G991" s="23" t="n"/>
      <c r="H991" s="56">
        <f>IF(I991&lt;&gt;"",I991,IF(G991="","",IF(ROUND(MOD(G991,1),1)&lt;=0.4,INT(G991)-1,INT(G991))))</f>
        <v/>
      </c>
      <c r="I991" s="56" t="n"/>
      <c r="J991" s="57">
        <f>IF(H991="","",IF(LOWER(A991)="gl",H991-2,IF(H991&gt;=60,H991-5,IF(AND(H991&gt;=50,H991&lt;60),H991-4,IF(AND(H991&gt;=10,H991&lt;50),H991-3,H991)))))</f>
        <v/>
      </c>
      <c r="K991" s="57" t="n"/>
    </row>
    <row r="992" ht="15" customHeight="1">
      <c r="A992" s="10" t="n"/>
      <c r="B992" s="2" t="n">
        <v>989</v>
      </c>
      <c r="C992" s="3" t="n"/>
      <c r="D992" s="3" t="n"/>
      <c r="E992" s="2" t="n"/>
      <c r="F992" s="5">
        <f>IF(E992="","",E992*1000)</f>
        <v/>
      </c>
      <c r="G992" s="23" t="n"/>
      <c r="H992" s="56">
        <f>IF(I992&lt;&gt;"",I992,IF(G992="","",IF(ROUND(MOD(G992,1),1)&lt;=0.4,INT(G992)-1,INT(G992))))</f>
        <v/>
      </c>
      <c r="I992" s="56" t="n"/>
      <c r="J992" s="57">
        <f>IF(H992="","",IF(LOWER(A992)="gl",H992-2,IF(H992&gt;=60,H992-5,IF(AND(H992&gt;=50,H992&lt;60),H992-4,IF(AND(H992&gt;=10,H992&lt;50),H992-3,H992)))))</f>
        <v/>
      </c>
      <c r="K992" s="57" t="n"/>
    </row>
    <row r="993" ht="15" customHeight="1">
      <c r="A993" s="10" t="n"/>
      <c r="B993" s="2" t="n">
        <v>990</v>
      </c>
      <c r="C993" s="3" t="n"/>
      <c r="D993" s="3" t="n"/>
      <c r="E993" s="2" t="n"/>
      <c r="F993" s="5">
        <f>IF(E993="","",E993*1000)</f>
        <v/>
      </c>
      <c r="G993" s="23" t="n"/>
      <c r="H993" s="56">
        <f>IF(I993&lt;&gt;"",I993,IF(G993="","",IF(ROUND(MOD(G993,1),1)&lt;=0.4,INT(G993)-1,INT(G993))))</f>
        <v/>
      </c>
      <c r="I993" s="56" t="n"/>
      <c r="J993" s="57">
        <f>IF(H993="","",IF(LOWER(A993)="gl",H993-2,IF(H993&gt;=60,H993-5,IF(AND(H993&gt;=50,H993&lt;60),H993-4,IF(AND(H993&gt;=10,H993&lt;50),H993-3,H993)))))</f>
        <v/>
      </c>
      <c r="K993" s="57" t="n"/>
    </row>
    <row r="994" ht="15" customHeight="1">
      <c r="A994" s="10" t="n"/>
      <c r="B994" s="2" t="n">
        <v>991</v>
      </c>
      <c r="C994" s="3" t="n"/>
      <c r="D994" s="3" t="n"/>
      <c r="E994" s="2" t="n"/>
      <c r="F994" s="5">
        <f>IF(E994="","",E994*1000)</f>
        <v/>
      </c>
      <c r="G994" s="23" t="n"/>
      <c r="H994" s="56">
        <f>IF(I994&lt;&gt;"",I994,IF(G994="","",IF(ROUND(MOD(G994,1),1)&lt;=0.4,INT(G994)-1,INT(G994))))</f>
        <v/>
      </c>
      <c r="I994" s="56" t="n"/>
      <c r="J994" s="57">
        <f>IF(H994="","",IF(LOWER(A994)="gl",H994-2,IF(H994&gt;=60,H994-5,IF(AND(H994&gt;=50,H994&lt;60),H994-4,IF(AND(H994&gt;=10,H994&lt;50),H994-3,H994)))))</f>
        <v/>
      </c>
      <c r="K994" s="57" t="n"/>
    </row>
    <row r="995" ht="15" customHeight="1">
      <c r="A995" s="10" t="n"/>
      <c r="B995" s="2" t="n">
        <v>992</v>
      </c>
      <c r="C995" s="3" t="n"/>
      <c r="D995" s="3" t="n"/>
      <c r="E995" s="2" t="n"/>
      <c r="F995" s="5">
        <f>IF(E995="","",E995*1000)</f>
        <v/>
      </c>
      <c r="G995" s="23" t="n"/>
      <c r="H995" s="56">
        <f>IF(I995&lt;&gt;"",I995,IF(G995="","",IF(ROUND(MOD(G995,1),1)&lt;=0.4,INT(G995)-1,INT(G995))))</f>
        <v/>
      </c>
      <c r="I995" s="56" t="n"/>
      <c r="J995" s="57">
        <f>IF(H995="","",IF(LOWER(A995)="gl",H995-2,IF(H995&gt;=60,H995-5,IF(AND(H995&gt;=50,H995&lt;60),H995-4,IF(AND(H995&gt;=10,H995&lt;50),H995-3,H995)))))</f>
        <v/>
      </c>
      <c r="K995" s="57" t="n"/>
    </row>
    <row r="996" ht="15" customHeight="1">
      <c r="A996" s="10" t="n"/>
      <c r="B996" s="2" t="n">
        <v>993</v>
      </c>
      <c r="C996" s="3" t="n"/>
      <c r="D996" s="3" t="n"/>
      <c r="E996" s="2" t="n"/>
      <c r="F996" s="5">
        <f>IF(E996="","",E996*1000)</f>
        <v/>
      </c>
      <c r="G996" s="23" t="n"/>
      <c r="H996" s="56">
        <f>IF(I996&lt;&gt;"",I996,IF(G996="","",IF(ROUND(MOD(G996,1),1)&lt;=0.4,INT(G996)-1,INT(G996))))</f>
        <v/>
      </c>
      <c r="I996" s="56" t="n"/>
      <c r="J996" s="57">
        <f>IF(H996="","",IF(LOWER(A996)="gl",H996-2,IF(H996&gt;=60,H996-5,IF(AND(H996&gt;=50,H996&lt;60),H996-4,IF(AND(H996&gt;=10,H996&lt;50),H996-3,H996)))))</f>
        <v/>
      </c>
      <c r="K996" s="57" t="n"/>
    </row>
    <row r="997" ht="15" customHeight="1">
      <c r="A997" s="10" t="n"/>
      <c r="B997" s="2" t="n">
        <v>994</v>
      </c>
      <c r="C997" s="3" t="n"/>
      <c r="D997" s="3" t="n"/>
      <c r="E997" s="2" t="n"/>
      <c r="F997" s="5">
        <f>IF(E997="","",E997*1000)</f>
        <v/>
      </c>
      <c r="G997" s="23" t="n"/>
      <c r="H997" s="56">
        <f>IF(I997&lt;&gt;"",I997,IF(G997="","",IF(ROUND(MOD(G997,1),1)&lt;=0.4,INT(G997)-1,INT(G997))))</f>
        <v/>
      </c>
      <c r="I997" s="56" t="n"/>
      <c r="J997" s="57">
        <f>IF(H997="","",IF(LOWER(A997)="gl",H997-2,IF(H997&gt;=60,H997-5,IF(AND(H997&gt;=50,H997&lt;60),H997-4,IF(AND(H997&gt;=10,H997&lt;50),H997-3,H997)))))</f>
        <v/>
      </c>
      <c r="K997" s="57" t="n"/>
    </row>
    <row r="998" ht="15" customHeight="1">
      <c r="A998" s="10" t="n"/>
      <c r="B998" s="2" t="n">
        <v>995</v>
      </c>
      <c r="C998" s="3" t="n"/>
      <c r="D998" s="3" t="n"/>
      <c r="E998" s="2" t="n"/>
      <c r="F998" s="5">
        <f>IF(E998="","",E998*1000)</f>
        <v/>
      </c>
      <c r="G998" s="23" t="n"/>
      <c r="H998" s="56">
        <f>IF(I998&lt;&gt;"",I998,IF(G998="","",IF(ROUND(MOD(G998,1),1)&lt;=0.4,INT(G998)-1,INT(G998))))</f>
        <v/>
      </c>
      <c r="I998" s="56" t="n"/>
      <c r="J998" s="57">
        <f>IF(H998="","",IF(LOWER(A998)="gl",H998-2,IF(H998&gt;=60,H998-5,IF(AND(H998&gt;=50,H998&lt;60),H998-4,IF(AND(H998&gt;=10,H998&lt;50),H998-3,H998)))))</f>
        <v/>
      </c>
      <c r="K998" s="57" t="n"/>
    </row>
    <row r="999" ht="15" customHeight="1">
      <c r="A999" s="10" t="n"/>
      <c r="B999" s="2" t="n">
        <v>996</v>
      </c>
      <c r="C999" s="3" t="n"/>
      <c r="D999" s="3" t="n"/>
      <c r="E999" s="2" t="n"/>
      <c r="F999" s="5">
        <f>IF(E999="","",E999*1000)</f>
        <v/>
      </c>
      <c r="G999" s="23" t="n"/>
      <c r="H999" s="56">
        <f>IF(I999&lt;&gt;"",I999,IF(G999="","",IF(ROUND(MOD(G999,1),1)&lt;=0.4,INT(G999)-1,INT(G999))))</f>
        <v/>
      </c>
      <c r="I999" s="56" t="n"/>
      <c r="J999" s="57">
        <f>IF(H999="","",IF(LOWER(A999)="gl",H999-2,IF(H999&gt;=60,H999-5,IF(AND(H999&gt;=50,H999&lt;60),H999-4,IF(AND(H999&gt;=10,H999&lt;50),H999-3,H999)))))</f>
        <v/>
      </c>
      <c r="K999" s="57" t="n"/>
    </row>
    <row r="1000" ht="15" customHeight="1">
      <c r="A1000" s="10" t="n"/>
      <c r="B1000" s="2" t="n">
        <v>997</v>
      </c>
      <c r="C1000" s="3" t="n"/>
      <c r="D1000" s="3" t="n"/>
      <c r="E1000" s="2" t="n"/>
      <c r="F1000" s="5">
        <f>IF(E1000="","",E1000*1000)</f>
        <v/>
      </c>
      <c r="G1000" s="23" t="n"/>
      <c r="H1000" s="56">
        <f>IF(I1000&lt;&gt;"",I1000,IF(G1000="","",IF(ROUND(MOD(G1000,1),1)&lt;=0.4,INT(G1000)-1,INT(G1000))))</f>
        <v/>
      </c>
      <c r="I1000" s="56" t="n"/>
      <c r="J1000" s="57">
        <f>IF(H1000="","",IF(LOWER(A1000)="gl",H1000-2,IF(H1000&gt;=60,H1000-5,IF(AND(H1000&gt;=50,H1000&lt;60),H1000-4,IF(AND(H1000&gt;=10,H1000&lt;50),H1000-3,H1000)))))</f>
        <v/>
      </c>
      <c r="K1000" s="57" t="n"/>
    </row>
    <row r="1001" ht="15" customHeight="1">
      <c r="A1001" s="10" t="n"/>
      <c r="B1001" s="2" t="n">
        <v>998</v>
      </c>
      <c r="C1001" s="3" t="n"/>
      <c r="D1001" s="3" t="n"/>
      <c r="E1001" s="2" t="n"/>
      <c r="F1001" s="5">
        <f>IF(E1001="","",E1001*1000)</f>
        <v/>
      </c>
      <c r="G1001" s="23" t="n"/>
      <c r="H1001" s="56">
        <f>IF(I1001&lt;&gt;"",I1001,IF(G1001="","",IF(ROUND(MOD(G1001,1),1)&lt;=0.4,INT(G1001)-1,INT(G1001))))</f>
        <v/>
      </c>
      <c r="I1001" s="56" t="n"/>
      <c r="J1001" s="57">
        <f>IF(H1001="","",IF(LOWER(A1001)="gl",H1001-2,IF(H1001&gt;=60,H1001-5,IF(AND(H1001&gt;=50,H1001&lt;60),H1001-4,IF(AND(H1001&gt;=10,H1001&lt;50),H1001-3,H1001)))))</f>
        <v/>
      </c>
      <c r="K1001" s="57" t="n"/>
    </row>
    <row r="1002" ht="15" customHeight="1">
      <c r="A1002" s="10" t="n"/>
      <c r="B1002" s="2" t="n">
        <v>999</v>
      </c>
      <c r="C1002" s="3" t="n"/>
      <c r="D1002" s="3" t="n"/>
      <c r="E1002" s="2" t="n"/>
      <c r="F1002" s="5">
        <f>IF(E1002="","",E1002*1000)</f>
        <v/>
      </c>
      <c r="G1002" s="23" t="n"/>
      <c r="H1002" s="56">
        <f>IF(I1002&lt;&gt;"",I1002,IF(G1002="","",IF(ROUND(MOD(G1002,1),1)&lt;=0.4,INT(G1002)-1,INT(G1002))))</f>
        <v/>
      </c>
      <c r="I1002" s="56" t="n"/>
      <c r="J1002" s="57">
        <f>IF(H1002="","",IF(LOWER(A1002)="gl",H1002-2,IF(H1002&gt;=60,H1002-5,IF(AND(H1002&gt;=50,H1002&lt;60),H1002-4,IF(AND(H1002&gt;=10,H1002&lt;50),H1002-3,H1002)))))</f>
        <v/>
      </c>
      <c r="K1002" s="57" t="n"/>
    </row>
    <row r="1003" ht="15" customHeight="1">
      <c r="A1003" s="10" t="n"/>
      <c r="B1003" s="2" t="n">
        <v>1000</v>
      </c>
      <c r="C1003" s="3" t="n"/>
      <c r="D1003" s="3" t="n"/>
      <c r="E1003" s="2" t="n"/>
      <c r="F1003" s="5">
        <f>IF(E1003="","",E1003*1000)</f>
        <v/>
      </c>
      <c r="G1003" s="23" t="n"/>
      <c r="H1003" s="56">
        <f>IF(I1003&lt;&gt;"",I1003,IF(G1003="","",IF(ROUND(MOD(G1003,1),1)&lt;=0.4,INT(G1003)-1,INT(G1003))))</f>
        <v/>
      </c>
      <c r="I1003" s="56" t="n"/>
      <c r="J1003" s="57">
        <f>IF(H1003="","",IF(LOWER(A1003)="gl",H1003-2,IF(H1003&gt;=60,H1003-5,IF(AND(H1003&gt;=50,H1003&lt;60),H1003-4,IF(AND(H1003&gt;=10,H1003&lt;50),H1003-3,H1003)))))</f>
        <v/>
      </c>
      <c r="K1003" s="57" t="n"/>
    </row>
    <row r="1005" ht="15" customHeight="1">
      <c r="A1005" s="53" t="inlineStr">
        <is>
          <t>GRADE and KG are blank for you to fill in — the formulas below will calculate automatically once filled.</t>
        </is>
      </c>
    </row>
    <row r="1006" ht="15" customHeight="1">
      <c r="A1006" s="53" t="inlineStr">
        <is>
          <t>HARGA rule: GRADE x 1000 (e.g. 45 -&gt; 45,000).</t>
        </is>
      </c>
    </row>
    <row r="1007" ht="15" customHeight="1">
      <c r="A1007" s="53" t="inlineStr">
        <is>
          <t>BRT rule: if KG decimal is .1, .2, or .3 -&gt; BRT = whole number - 1 (e.g. 47.3 -&gt; 46, 38.1 -&gt; 37). If decimal is .4-.9 (or .0) -&gt; BRT = whole number only.</t>
        </is>
      </c>
    </row>
    <row r="1008" ht="15" customHeight="1">
      <c r="A1008" s="53" t="inlineStr">
        <is>
          <t>NET rule: if GL is filled with "gl" -&gt; NET = BRT - 2. If GL is NOT filled -&gt; BRT 60-70 -&gt; NET = BRT - 5, BRT 50-60 -&gt; NET = BRT - 4, BRT 10-50 -&gt; NET = BRT - 3, outside those -&gt; NET = BRT unchanged.</t>
        </is>
      </c>
    </row>
  </sheetData>
  <mergeCells count="6">
    <mergeCell ref="A1:J1"/>
    <mergeCell ref="A1005:J1005"/>
    <mergeCell ref="A1006:J1006"/>
    <mergeCell ref="A2:J2"/>
    <mergeCell ref="A1008:J1008"/>
    <mergeCell ref="A1007:J100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2026-08-10T19:00:13Z</dcterms:created>
  <dcterms:modified xsi:type="dcterms:W3CDTF">2026-08-15T15:31:09Z</dcterms:modified>
  <cp:lastModifiedBy>ASUS</cp:lastModifiedBy>
  <cp:revision>0</cp:revision>
  <cp:lastPrinted>2026-08-12T18:44:47Z</cp:lastPrinted>
</cp:coreProperties>
</file>