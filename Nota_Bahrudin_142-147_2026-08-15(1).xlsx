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hrudin" state="visible" r:id="rId4"/>
  </sheets>
  <calcPr calcId="171027"/>
</workbook>
</file>

<file path=xl/sharedStrings.xml><?xml version="1.0" encoding="utf-8"?>
<sst xmlns="http://schemas.openxmlformats.org/spreadsheetml/2006/main" count="23" uniqueCount="23">
  <si>
    <t>NOTA PEMBELIAN TEMBAKAU 2026</t>
  </si>
  <si>
    <t>Nama    :</t>
  </si>
  <si>
    <t>Bahrudin</t>
  </si>
  <si>
    <t>Alamat    :</t>
  </si>
  <si>
    <t>(BAHRUDIN) (10/8 26)</t>
  </si>
  <si>
    <t>Tgl/Hr/Thn  :</t>
  </si>
  <si>
    <t>16 Agustus 2026</t>
  </si>
  <si>
    <t>No. GUD</t>
  </si>
  <si>
    <t>BRUTO</t>
  </si>
  <si>
    <t>NETTO</t>
  </si>
  <si>
    <t>HARGA</t>
  </si>
  <si>
    <t>JUMLAH</t>
  </si>
  <si>
    <t>GL 142</t>
  </si>
  <si>
    <t>GL 143</t>
  </si>
  <si>
    <t>GL 144</t>
  </si>
  <si>
    <t>GL 145</t>
  </si>
  <si>
    <t>GL 146</t>
  </si>
  <si>
    <t>GL 147</t>
  </si>
  <si>
    <t>151 BS</t>
  </si>
  <si>
    <t xml:space="preserve">JUMLAH </t>
  </si>
  <si>
    <t>PPH 0,5%</t>
  </si>
  <si>
    <t>Koli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</si>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</sst>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6" x14ac:knownFonts="1">
    <font>
      <color theme="1"/>
      <family val="2"/>
      <scheme val="minor"/>
      <sz val="11"/>
      <name val="Calibri"/>
    </font>
    <font>
      <b/>
      <sz val="16"/>
      <name val="Bahnschrift"/>
    </font>
    <font>
      <b/>
      <sz val="11"/>
      <name val="Bahnschrift"/>
    </font>
    <font>
      <sz val="11"/>
      <name val="Bahnschrift"/>
    </font>
    <font>
      <b/>
      <sz val="12"/>
      <name val="Bahnschrift"/>
    </font>
    <font>
      <sz val="12"/>
      <name val="Bahnschrif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21000</xdr:colOff>
      <xdr:row>0</xdr:row>
      <xdr:rowOff>108000</xdr:rowOff>
    </xdr:from>
    <xdr:ext cx="4953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E19"/>
  <sheetViews>
    <sheetView workbookViewId="0" showGridLines="0"/>
  </sheetViews>
  <sheetFormatPr defaultRowHeight="15" outlineLevelRow="0" outlineLevelCol="0" x14ac:dyDescent="55"/>
  <cols>
    <col min="1" max="1" width="14" customWidth="1"/>
    <col min="2" max="3" width="12" customWidth="1"/>
    <col min="4" max="4" width="14" customWidth="1"/>
    <col min="5" max="5" width="18" customWidth="1"/>
  </cols>
  <sheetData>
    <row r="2" ht="20" customHeight="1" spans="2:2" x14ac:dyDescent="0.25">
      <c r="B2" s="1" t="s">
        <v>0</v>
      </c>
    </row>
    <row r="4" ht="16" customHeight="1" spans="1:2" x14ac:dyDescent="0.25">
      <c r="A4" s="2" t="s">
        <v>1</v>
      </c>
      <c r="B4" s="3" t="s">
        <v>2</v>
      </c>
    </row>
    <row r="5" ht="16" customHeight="1" spans="1:2" x14ac:dyDescent="0.25">
      <c r="A5" s="2" t="s">
        <v>3</v>
      </c>
      <c r="B5" s="3" t="s">
        <v>4</v>
      </c>
    </row>
    <row r="6" ht="16" customHeight="1" spans="1:2" x14ac:dyDescent="0.25">
      <c r="A6" s="2" t="s">
        <v>5</v>
      </c>
      <c r="B6" s="3" t="s">
        <v>6</v>
      </c>
    </row>
    <row r="8" ht="18" customHeight="1" spans="1:5" x14ac:dyDescent="0.25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</row>
    <row r="9" ht="16" customHeight="1" spans="1:5" x14ac:dyDescent="0.25">
      <c r="A9" s="5" t="s">
        <v>12</v>
      </c>
      <c r="B9" s="6">
        <v>37</v>
      </c>
      <c r="C9" s="6">
        <v>35</v>
      </c>
      <c r="D9" s="7">
        <v>40000</v>
      </c>
      <c r="E9" s="7">
        <f>C9*D9</f>
        <v>1400000</v>
      </c>
    </row>
    <row r="10" ht="16" customHeight="1" spans="1:5" x14ac:dyDescent="0.25">
      <c r="A10" s="5" t="s">
        <v>13</v>
      </c>
      <c r="B10" s="6">
        <v>41</v>
      </c>
      <c r="C10" s="6">
        <v>39</v>
      </c>
      <c r="D10" s="7">
        <v>40000</v>
      </c>
      <c r="E10" s="7">
        <f>C10*D10</f>
        <v>1560000</v>
      </c>
    </row>
    <row r="11" ht="16" customHeight="1" spans="1:5" x14ac:dyDescent="0.25">
      <c r="A11" s="5" t="s">
        <v>14</v>
      </c>
      <c r="B11" s="6">
        <v>49</v>
      </c>
      <c r="C11" s="6">
        <v>47</v>
      </c>
      <c r="D11" s="7">
        <v>41000</v>
      </c>
      <c r="E11" s="7">
        <f>C11*D11</f>
        <v>1927000</v>
      </c>
    </row>
    <row r="12" ht="16" customHeight="1" spans="1:5" x14ac:dyDescent="0.25">
      <c r="A12" s="5" t="s">
        <v>15</v>
      </c>
      <c r="B12" s="6">
        <v>49</v>
      </c>
      <c r="C12" s="6">
        <v>47</v>
      </c>
      <c r="D12" s="7">
        <v>37000</v>
      </c>
      <c r="E12" s="7">
        <f>C12*D12</f>
        <v>1739000</v>
      </c>
    </row>
    <row r="13" ht="16" customHeight="1" spans="1:5" x14ac:dyDescent="0.25">
      <c r="A13" s="5" t="s">
        <v>16</v>
      </c>
      <c r="B13" s="6">
        <v>46</v>
      </c>
      <c r="C13" s="6">
        <v>44</v>
      </c>
      <c r="D13" s="7">
        <v>37000</v>
      </c>
      <c r="E13" s="7">
        <f>C13*D13</f>
        <v>1628000</v>
      </c>
    </row>
    <row r="14" ht="16" customHeight="1" spans="1:5" x14ac:dyDescent="0.25">
      <c r="A14" s="5" t="s">
        <v>17</v>
      </c>
      <c r="B14" s="6">
        <v>47</v>
      </c>
      <c r="C14" s="6">
        <v>45</v>
      </c>
      <c r="D14" s="7">
        <v>37000</v>
      </c>
      <c r="E14" s="7">
        <f>C14*D14</f>
        <v>1665000</v>
      </c>
    </row>
    <row r="15" ht="16" customHeight="1" spans="1:5" x14ac:dyDescent="0.25">
      <c r="A15" s="5" t="s">
        <v>18</v>
      </c>
      <c r="B15" s="6">
        <v>64</v>
      </c>
      <c r="C15" s="6">
        <v>59</v>
      </c>
      <c r="D15" s="7">
        <v>20000</v>
      </c>
      <c r="E15" s="7">
        <f>C15*D15</f>
        <v>1180000</v>
      </c>
    </row>
    <row r="16" ht="16" customHeight="1" spans="4:5" x14ac:dyDescent="0.25">
      <c r="D16" s="8" t="s">
        <v>19</v>
      </c>
      <c r="E16" s="7">
        <f>SUM(E9:E15)</f>
        <v>11099000</v>
      </c>
    </row>
    <row r="17" ht="16" customHeight="1" spans="4:5" x14ac:dyDescent="0.25">
      <c r="D17" s="8" t="s">
        <v>20</v>
      </c>
      <c r="E17" s="7">
        <f>CEILING(E16*0.005,5000)</f>
        <v>60000</v>
      </c>
    </row>
    <row r="18" ht="16" customHeight="1" spans="4:5" x14ac:dyDescent="0.25">
      <c r="D18" s="8" t="s">
        <v>21</v>
      </c>
      <c r="E18" s="9">
        <f>COUNTA(A9:A15)*5000</f>
        <v>35000</v>
      </c>
    </row>
    <row r="19" ht="16" customHeight="1" spans="4:5" x14ac:dyDescent="0.25">
      <c r="D19" s="10" t="s">
        <v>22</v>
      </c>
      <c r="E19" s="11">
        <f>E16-E18-E17</f>
        <v>11004000</v>
      </c>
    </row>
  </sheetData>
  <pageMargins left="1" right="1" top="1" bottom="1"/>
  <pageSetup paperSize="9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Bahrudin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 AI Nota Generator</dc:creator>
  <dc:title/>
  <dc:subject/>
  <dc:description/>
  <cp:keywords/>
  <cp:category/>
  <cp:lastModifiedBy>Unknown</cp:lastModifiedBy>
  <dcterms:created xsi:type="dcterms:W3CDTF">2026-08-15T20:17:10Z</dcterms:created>
  <dcterms:modified xsi:type="dcterms:W3CDTF">2026-08-15T20:17:10Z</dcterms:modified>
</cp:coreProperties>
</file>