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ta 142-147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cols>
    <col min="1" max="1" width="14.83203125" customWidth="1"/>
    <col min="2" max="2" width="11.83203125" customWidth="1"/>
    <col min="3" max="3" width="11.83203125" customWidth="1"/>
    <col min="4" max="4" width="15.83203125" customWidth="1"/>
    <col min="5" max="5" width="18.83203125" customWidth="1"/>
  </cols>
  <sheetData>
    <row r="1">
      <c r="A1" t="str">
        <v/>
      </c>
      <c r="B1" t="str">
        <v>NOTA PEMBELIAN TEMBAKAU 2026</v>
      </c>
    </row>
    <row r="3">
      <c r="A3" t="str">
        <v>Nama    :</v>
      </c>
      <c r="B3" t="str">
        <v>Bahrudin</v>
      </c>
    </row>
    <row r="4">
      <c r="A4" t="str">
        <v>Alamat  :</v>
      </c>
      <c r="B4" t="str">
        <v>(BAHRUDIN) (10/8/26)</v>
      </c>
    </row>
    <row r="5">
      <c r="A5" t="str">
        <v>Tgl/Hr/Thn :</v>
      </c>
      <c r="B5" t="str">
        <v>16 Agustus 2026</v>
      </c>
    </row>
    <row r="7">
      <c r="A7" t="str">
        <v>No. GUD</v>
      </c>
      <c r="B7" t="str">
        <v>BRUTO</v>
      </c>
      <c r="C7" t="str">
        <v>NETTO</v>
      </c>
      <c r="D7" t="str">
        <v>HARGA</v>
      </c>
      <c r="E7" t="str">
        <v>JUMLAH</v>
      </c>
    </row>
    <row r="8">
      <c r="A8" t="str">
        <v>GL 142</v>
      </c>
      <c r="B8">
        <v>50</v>
      </c>
      <c r="C8">
        <v>48</v>
      </c>
      <c r="D8">
        <v>62000</v>
      </c>
      <c r="E8">
        <f>C8*D8</f>
        <v>2976000</v>
      </c>
    </row>
    <row r="9">
      <c r="A9" t="str">
        <v>GL 143</v>
      </c>
      <c r="B9">
        <v>37</v>
      </c>
      <c r="C9">
        <v>35</v>
      </c>
      <c r="D9">
        <v>40000</v>
      </c>
      <c r="E9">
        <f>C9*D9</f>
        <v>1400000</v>
      </c>
    </row>
    <row r="10">
      <c r="A10" t="str">
        <v>GL 144</v>
      </c>
      <c r="B10">
        <v>41</v>
      </c>
      <c r="C10">
        <v>39</v>
      </c>
      <c r="D10">
        <v>40000</v>
      </c>
      <c r="E10">
        <f>C10*D10</f>
        <v>1560000</v>
      </c>
    </row>
    <row r="11">
      <c r="A11" t="str">
        <v>GL 145</v>
      </c>
      <c r="B11">
        <v>49</v>
      </c>
      <c r="C11">
        <v>47</v>
      </c>
      <c r="D11">
        <v>41000</v>
      </c>
      <c r="E11">
        <f>C11*D11</f>
        <v>1927000</v>
      </c>
    </row>
    <row r="12">
      <c r="A12" t="str">
        <v>GL 146</v>
      </c>
      <c r="B12">
        <v>49</v>
      </c>
      <c r="C12">
        <v>47</v>
      </c>
      <c r="D12">
        <v>37000</v>
      </c>
      <c r="E12">
        <f>C12*D12</f>
        <v>1739000</v>
      </c>
    </row>
    <row r="13">
      <c r="A13" t="str">
        <v>GL 147</v>
      </c>
      <c r="B13">
        <v>46</v>
      </c>
      <c r="C13">
        <v>44</v>
      </c>
      <c r="D13">
        <v>37000</v>
      </c>
      <c r="E13">
        <f>C13*D13</f>
        <v>1628000</v>
      </c>
    </row>
    <row r="14">
      <c r="A14" t="str">
        <v>151 BS</v>
      </c>
      <c r="B14">
        <v>64</v>
      </c>
      <c r="C14">
        <v>59</v>
      </c>
      <c r="D14">
        <v>20000</v>
      </c>
      <c r="E14">
        <f>C14*D14</f>
        <v>1180000</v>
      </c>
    </row>
    <row r="15">
      <c r="A15" t="str">
        <v/>
      </c>
      <c r="B15" t="str">
        <v/>
      </c>
      <c r="C15" t="str">
        <v/>
      </c>
      <c r="D15" t="str">
        <v>JUMLAH</v>
      </c>
      <c r="E15">
        <f>SUM(E8:E14)</f>
        <v>12410000</v>
      </c>
    </row>
    <row r="16">
      <c r="A16" t="str">
        <v/>
      </c>
      <c r="B16" t="str">
        <v/>
      </c>
      <c r="C16" t="str">
        <v/>
      </c>
      <c r="D16" t="str">
        <v>PPH 0,5%</v>
      </c>
      <c r="E16">
        <f>CEILING(E15*0.005, 5000)</f>
        <v>65000</v>
      </c>
    </row>
    <row r="17">
      <c r="A17" t="str">
        <v/>
      </c>
      <c r="B17" t="str">
        <v/>
      </c>
      <c r="C17" t="str">
        <v/>
      </c>
      <c r="D17" t="str">
        <v>Koli</v>
      </c>
      <c r="E17">
        <f>COUNTA(A8:A14)*5000</f>
        <v>35000</v>
      </c>
    </row>
    <row r="18">
      <c r="A18" t="str">
        <v/>
      </c>
      <c r="B18" t="str">
        <v/>
      </c>
      <c r="C18" t="str">
        <v/>
      </c>
      <c r="D18" t="str">
        <v>TOTAL</v>
      </c>
      <c r="E18">
        <f>E15-E16-E17</f>
        <v>12310000</v>
      </c>
    </row>
  </sheetData>
  <pageMargins left="0.5" right="0.5" top="0.5" bottom="0.5" header="0.2" footer="0.2"/>
  <ignoredErrors>
    <ignoredError numberStoredAsText="1" sqref="A1:E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Nota 142-147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